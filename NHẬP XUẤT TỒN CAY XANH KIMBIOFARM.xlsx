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\Desktop\"/>
    </mc:Choice>
  </mc:AlternateContent>
  <xr:revisionPtr revIDLastSave="0" documentId="13_ncr:1_{369F7CEA-C113-4C7A-8B02-5EF894BED4A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XUẤT SHOPPE T12.2025" sheetId="1" r:id="rId1"/>
    <sheet name="NHẬP XUẤT TỒN  T12.2015" sheetId="2" r:id="rId2"/>
    <sheet name="CHI TIẾT XUẤT T12.2025" sheetId="3" r:id="rId3"/>
  </sheets>
  <definedNames>
    <definedName name="_xlnm.Print_Area" localSheetId="0">'XUẤT SHOPPE T12.2025'!$A$1:$Q$21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6" i="2" l="1"/>
  <c r="G89" i="2"/>
  <c r="F26" i="2"/>
  <c r="G26" i="2" s="1"/>
  <c r="F39" i="2"/>
  <c r="G39" i="2" s="1"/>
  <c r="F34" i="2"/>
  <c r="G34" i="2" s="1"/>
  <c r="F85" i="2"/>
  <c r="G85" i="2" s="1"/>
  <c r="F81" i="2"/>
  <c r="G81" i="2" s="1"/>
  <c r="F2" i="2"/>
  <c r="G2" i="2" s="1"/>
  <c r="D96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1" i="2"/>
  <c r="G22" i="2"/>
  <c r="G23" i="2"/>
  <c r="G24" i="2"/>
  <c r="G25" i="2"/>
  <c r="G27" i="2"/>
  <c r="G28" i="2"/>
  <c r="G29" i="2"/>
  <c r="G30" i="2"/>
  <c r="G31" i="2"/>
  <c r="G32" i="2"/>
  <c r="G33" i="2"/>
  <c r="G35" i="2"/>
  <c r="G36" i="2"/>
  <c r="G38" i="2"/>
  <c r="G40" i="2"/>
  <c r="G41" i="2"/>
  <c r="G42" i="2"/>
  <c r="G43" i="2"/>
  <c r="G44" i="2"/>
  <c r="G45" i="2"/>
  <c r="G46" i="2"/>
  <c r="G47" i="2"/>
  <c r="G48" i="2"/>
  <c r="G49" i="2"/>
  <c r="G50" i="2"/>
  <c r="G51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6" i="2"/>
  <c r="G77" i="2"/>
  <c r="G78" i="2"/>
  <c r="G79" i="2"/>
  <c r="G80" i="2"/>
  <c r="G83" i="2"/>
  <c r="G84" i="2"/>
  <c r="G88" i="2"/>
  <c r="G90" i="2"/>
  <c r="G91" i="2"/>
  <c r="G92" i="2"/>
  <c r="G93" i="2"/>
  <c r="G94" i="2"/>
  <c r="G95" i="2"/>
  <c r="I52" i="1"/>
  <c r="K52" i="1"/>
  <c r="G52" i="1"/>
  <c r="E52" i="1"/>
  <c r="J15" i="1"/>
  <c r="L15" i="1"/>
  <c r="H15" i="1"/>
  <c r="F15" i="1"/>
  <c r="G96" i="2" l="1"/>
</calcChain>
</file>

<file path=xl/sharedStrings.xml><?xml version="1.0" encoding="utf-8"?>
<sst xmlns="http://schemas.openxmlformats.org/spreadsheetml/2006/main" count="300" uniqueCount="283">
  <si>
    <t>SỐ FILE</t>
  </si>
  <si>
    <t>NGÀY</t>
  </si>
  <si>
    <t>LOẠI CÂY</t>
  </si>
  <si>
    <t>SỐ LƯỢNG</t>
  </si>
  <si>
    <t>LOẠI KHÁC</t>
  </si>
  <si>
    <t>NGƯỜI NHẬN</t>
  </si>
  <si>
    <t>NGƯỜI GIAO</t>
  </si>
  <si>
    <t>GHI CHÚ</t>
  </si>
  <si>
    <t>MÃ TUYẾN</t>
  </si>
  <si>
    <t>VT11</t>
  </si>
  <si>
    <t>NB06</t>
  </si>
  <si>
    <t>BDHT</t>
  </si>
  <si>
    <t>6965TT</t>
  </si>
  <si>
    <t>2.12-3</t>
  </si>
  <si>
    <t>S0100</t>
  </si>
  <si>
    <t>HỒNG XIÊM</t>
  </si>
  <si>
    <t>CÓC THÁI</t>
  </si>
  <si>
    <t>01-14</t>
  </si>
  <si>
    <t>001-00</t>
  </si>
  <si>
    <t>Q747</t>
  </si>
  <si>
    <t>Q225</t>
  </si>
  <si>
    <t>ỚT</t>
  </si>
  <si>
    <t>Q839</t>
  </si>
  <si>
    <t>HA02</t>
  </si>
  <si>
    <t>ỔI RUBY</t>
  </si>
  <si>
    <t>760TT</t>
  </si>
  <si>
    <t>ĐẤT (KG)</t>
  </si>
  <si>
    <t>TRẤU (KG)</t>
  </si>
  <si>
    <t>XƠ DỪA (KG)</t>
  </si>
  <si>
    <t>2.12-4</t>
  </si>
  <si>
    <t>3.12 HT</t>
  </si>
  <si>
    <t>VXW6</t>
  </si>
  <si>
    <t>TẮC Đ.LOAN</t>
  </si>
  <si>
    <t>TD16</t>
  </si>
  <si>
    <t>MÃ VẬN ĐƠN
-ĐƠN HÀNG</t>
  </si>
  <si>
    <t>KHẾ</t>
  </si>
  <si>
    <t>TỔNG CUỐI NGÀY</t>
  </si>
  <si>
    <t>MN11</t>
  </si>
  <si>
    <t>CC02</t>
  </si>
  <si>
    <t>Q901</t>
  </si>
  <si>
    <t>GV13</t>
  </si>
  <si>
    <t>AM08</t>
  </si>
  <si>
    <t>TB11</t>
  </si>
  <si>
    <t>PHÂN NPK</t>
  </si>
  <si>
    <t>HM16</t>
  </si>
  <si>
    <t>HD13</t>
  </si>
  <si>
    <t>CB19</t>
  </si>
  <si>
    <t>TV08</t>
  </si>
  <si>
    <t>LỰU</t>
  </si>
  <si>
    <t>ST02</t>
  </si>
  <si>
    <t>DB14</t>
  </si>
  <si>
    <t>PL01</t>
  </si>
  <si>
    <t>NHÃN</t>
  </si>
  <si>
    <t>BD01</t>
  </si>
  <si>
    <t>DỪA SÁP</t>
  </si>
  <si>
    <t>73991TT</t>
  </si>
  <si>
    <t>73990TT</t>
  </si>
  <si>
    <t>3892TT</t>
  </si>
  <si>
    <t>CL09</t>
  </si>
  <si>
    <t>3.12-2</t>
  </si>
  <si>
    <t>5400</t>
  </si>
  <si>
    <t xml:space="preserve">HỒNG XIÊM </t>
  </si>
  <si>
    <t>0406TT</t>
  </si>
  <si>
    <t>38PX</t>
  </si>
  <si>
    <t>LỰU ĐỎ</t>
  </si>
  <si>
    <t>VXGM</t>
  </si>
  <si>
    <t>SKSV</t>
  </si>
  <si>
    <t>PL3AM</t>
  </si>
  <si>
    <t>BD06</t>
  </si>
  <si>
    <t>1201</t>
  </si>
  <si>
    <t>SS04</t>
  </si>
  <si>
    <t>LEKIMA</t>
  </si>
  <si>
    <t>Q136</t>
  </si>
  <si>
    <t>7106TT</t>
  </si>
  <si>
    <t>7703TT</t>
  </si>
  <si>
    <t>312-3</t>
  </si>
  <si>
    <t>Q314</t>
  </si>
  <si>
    <t>BÔNG GIẤY</t>
  </si>
  <si>
    <t>1035</t>
  </si>
  <si>
    <t>312 HT</t>
  </si>
  <si>
    <t>YUTA</t>
  </si>
  <si>
    <t>Mận xanh đường sóc trăng</t>
  </si>
  <si>
    <t>Thanh nhãn</t>
  </si>
  <si>
    <t>Mận ghép thái</t>
  </si>
  <si>
    <t>Mít mơ</t>
  </si>
  <si>
    <t>Mận hồng sóc trăng</t>
  </si>
  <si>
    <t>Bòn bon Thái</t>
  </si>
  <si>
    <t>Dâu xiêm</t>
  </si>
  <si>
    <t>Dâu xanh gia bảo</t>
  </si>
  <si>
    <t>Táo thái</t>
  </si>
  <si>
    <t>Tắc cẩm thạch</t>
  </si>
  <si>
    <t>Tắc mỹ</t>
  </si>
  <si>
    <t>Chanh chúc</t>
  </si>
  <si>
    <t>Mãng cầu xiêm Thái</t>
  </si>
  <si>
    <t>Chanh bông tím</t>
  </si>
  <si>
    <t>Ổi ruby (ổi trân châu ruột hồng)</t>
  </si>
  <si>
    <t>Khế ngọt</t>
  </si>
  <si>
    <t>Ổi nữ hoàng</t>
  </si>
  <si>
    <t>Chanh giấy 60cm</t>
  </si>
  <si>
    <t>Chanh giấy 1m</t>
  </si>
  <si>
    <t>Mít malai xưa</t>
  </si>
  <si>
    <t>Mít ruột đỏ Indo</t>
  </si>
  <si>
    <t>Cherry</t>
  </si>
  <si>
    <t>Lekima tứ quý</t>
  </si>
  <si>
    <t xml:space="preserve">Tắc ngọt đài loan </t>
  </si>
  <si>
    <t>Vú sữa mica</t>
  </si>
  <si>
    <t>Vú sữa lò rèn</t>
  </si>
  <si>
    <t>Na Thái</t>
  </si>
  <si>
    <t>Na đài loan</t>
  </si>
  <si>
    <t>Nhãn xuồng vàng</t>
  </si>
  <si>
    <t>Nhãn long phụng châu</t>
  </si>
  <si>
    <t>Nhãn xuồng tím</t>
  </si>
  <si>
    <t>Nhãn long tím</t>
  </si>
  <si>
    <t>Cây bánh kem</t>
  </si>
  <si>
    <t>Me thái</t>
  </si>
  <si>
    <t>Sapo mexico</t>
  </si>
  <si>
    <t>Hồng xiêm xoài</t>
  </si>
  <si>
    <t>Cây thần kì</t>
  </si>
  <si>
    <t>Cà ri</t>
  </si>
  <si>
    <t>Trà xanh</t>
  </si>
  <si>
    <t>Chanh dây ngọt</t>
  </si>
  <si>
    <t>Mận trắng sữa</t>
  </si>
  <si>
    <t>Mận đào đá</t>
  </si>
  <si>
    <t>Mận đào huyết</t>
  </si>
  <si>
    <t>Mận hoàng yến</t>
  </si>
  <si>
    <t>Xoài đài loan</t>
  </si>
  <si>
    <t>Xoài cát hòa lộc</t>
  </si>
  <si>
    <t>Xoài thái</t>
  </si>
  <si>
    <t>Xoài tứ quý</t>
  </si>
  <si>
    <t>Xoài tượng</t>
  </si>
  <si>
    <t>Bưởi ruby</t>
  </si>
  <si>
    <t>Bưởi 5 roi</t>
  </si>
  <si>
    <t>Bưởi nhánh</t>
  </si>
  <si>
    <t>Nho tứ quý</t>
  </si>
  <si>
    <t>Na dứa đài loan</t>
  </si>
  <si>
    <t>Chiều tím</t>
  </si>
  <si>
    <t>Bông giấy mỹ</t>
  </si>
  <si>
    <t>Mây mật indo</t>
  </si>
  <si>
    <t>Măng cụt thái (măng ghép thái)</t>
  </si>
  <si>
    <t>Ổi tím</t>
  </si>
  <si>
    <t>Mận da người</t>
  </si>
  <si>
    <t>Ổi cẩm thạch</t>
  </si>
  <si>
    <t>Mận tam hoa</t>
  </si>
  <si>
    <t>Nhãn xuồng bắp cải</t>
  </si>
  <si>
    <t>Kim quất</t>
  </si>
  <si>
    <t xml:space="preserve">Mận mst </t>
  </si>
  <si>
    <t>Dừa xiêm lùn</t>
  </si>
  <si>
    <t>Dừa mã lai</t>
  </si>
  <si>
    <t>Dừa tam quan</t>
  </si>
  <si>
    <t>Dừa xiêm lục</t>
  </si>
  <si>
    <t>Dừa ta</t>
  </si>
  <si>
    <t>Dừa sáp</t>
  </si>
  <si>
    <t>Dừa xiêm dây</t>
  </si>
  <si>
    <t>Sirô</t>
  </si>
  <si>
    <t>Đu đủ đỏ</t>
  </si>
  <si>
    <t>Táo đỏ</t>
  </si>
  <si>
    <t>Ổi xá lị</t>
  </si>
  <si>
    <t>Hồng socola</t>
  </si>
  <si>
    <t>Quýt thái</t>
  </si>
  <si>
    <t>Cam xoàn</t>
  </si>
  <si>
    <t>Cóc thái</t>
  </si>
  <si>
    <t>Chanh mỹ vàng</t>
  </si>
  <si>
    <t>Nho mẫu đơn</t>
  </si>
  <si>
    <t>MÃ CÂY</t>
  </si>
  <si>
    <t>BUOI1</t>
  </si>
  <si>
    <t>BUOI2</t>
  </si>
  <si>
    <t>BUOI3</t>
  </si>
  <si>
    <t>GIAY1</t>
  </si>
  <si>
    <t>BONBON1</t>
  </si>
  <si>
    <t>CHANH1</t>
  </si>
  <si>
    <t>CHANH2</t>
  </si>
  <si>
    <t>CHANH3</t>
  </si>
  <si>
    <t>CHANH4</t>
  </si>
  <si>
    <t>CHERRY</t>
  </si>
  <si>
    <t>CHANH5</t>
  </si>
  <si>
    <t>CHANH6</t>
  </si>
  <si>
    <t>CAM1</t>
  </si>
  <si>
    <t>COC1</t>
  </si>
  <si>
    <t>BANHKEM</t>
  </si>
  <si>
    <t>THANKI</t>
  </si>
  <si>
    <t>CARI</t>
  </si>
  <si>
    <t>CHIEUTI M</t>
  </si>
  <si>
    <t>DUA1</t>
  </si>
  <si>
    <t>DUA2</t>
  </si>
  <si>
    <t>DUA3</t>
  </si>
  <si>
    <t>DUA4</t>
  </si>
  <si>
    <t>DUA5</t>
  </si>
  <si>
    <t>DUA6</t>
  </si>
  <si>
    <t>DUA7</t>
  </si>
  <si>
    <t>DAU1</t>
  </si>
  <si>
    <t>DAU2</t>
  </si>
  <si>
    <t>DUDU</t>
  </si>
  <si>
    <t>HONG1</t>
  </si>
  <si>
    <t>HONG2</t>
  </si>
  <si>
    <t>Khế chua</t>
  </si>
  <si>
    <t>KHE1</t>
  </si>
  <si>
    <t>KHE2</t>
  </si>
  <si>
    <t>KIMQUAT</t>
  </si>
  <si>
    <t>MANGCAU</t>
  </si>
  <si>
    <t>MAN1</t>
  </si>
  <si>
    <t>MAN2</t>
  </si>
  <si>
    <t>MAN3</t>
  </si>
  <si>
    <t>MAN4</t>
  </si>
  <si>
    <t>MAN5</t>
  </si>
  <si>
    <t>MAN6</t>
  </si>
  <si>
    <t>MAN7</t>
  </si>
  <si>
    <t>MAN8</t>
  </si>
  <si>
    <t>MAN9</t>
  </si>
  <si>
    <t>MAN10</t>
  </si>
  <si>
    <t>MANGCUT</t>
  </si>
  <si>
    <t>ME1</t>
  </si>
  <si>
    <t>Me lào</t>
  </si>
  <si>
    <t>ME2</t>
  </si>
  <si>
    <t>MIT1</t>
  </si>
  <si>
    <t>MIT2</t>
  </si>
  <si>
    <t>MIT3</t>
  </si>
  <si>
    <t>OI1</t>
  </si>
  <si>
    <t>OI2</t>
  </si>
  <si>
    <t>OI3</t>
  </si>
  <si>
    <t>OI4</t>
  </si>
  <si>
    <t>OI5</t>
  </si>
  <si>
    <t>NA1</t>
  </si>
  <si>
    <t>NA2</t>
  </si>
  <si>
    <t>NA3</t>
  </si>
  <si>
    <t>NHAN1</t>
  </si>
  <si>
    <t>NHAN2</t>
  </si>
  <si>
    <t>NHAN3</t>
  </si>
  <si>
    <t>NHAN4</t>
  </si>
  <si>
    <t>NHAN5</t>
  </si>
  <si>
    <t>NHO1</t>
  </si>
  <si>
    <t>NHO2</t>
  </si>
  <si>
    <t>QUYT</t>
  </si>
  <si>
    <t>SIRO</t>
  </si>
  <si>
    <t>TAO1</t>
  </si>
  <si>
    <t>TAO2</t>
  </si>
  <si>
    <t>TAC1</t>
  </si>
  <si>
    <t>TAC2</t>
  </si>
  <si>
    <t>TAC3</t>
  </si>
  <si>
    <t>THANHNHAN</t>
  </si>
  <si>
    <t>TRAXANH</t>
  </si>
  <si>
    <t>SAPO</t>
  </si>
  <si>
    <t>VUSUA1</t>
  </si>
  <si>
    <t>VUSUA2</t>
  </si>
  <si>
    <t>XOAI1</t>
  </si>
  <si>
    <t>XOAI2</t>
  </si>
  <si>
    <t>XOAI3</t>
  </si>
  <si>
    <t>XOAI4</t>
  </si>
  <si>
    <t>XOAI5</t>
  </si>
  <si>
    <t xml:space="preserve">TỔNG </t>
  </si>
  <si>
    <t xml:space="preserve">TỒN </t>
  </si>
  <si>
    <t>XUẤT</t>
  </si>
  <si>
    <t>GIÁ NHẬP</t>
  </si>
  <si>
    <t>PHÍ SHIP</t>
  </si>
  <si>
    <t xml:space="preserve">SỐ LƯỢNG NHẬP </t>
  </si>
  <si>
    <t>NGÀY NHẬP</t>
  </si>
  <si>
    <t>Lựu</t>
  </si>
  <si>
    <t>Lựu Ấn Độ</t>
  </si>
  <si>
    <t>LUU1</t>
  </si>
  <si>
    <t>LUU2</t>
  </si>
  <si>
    <t>Phi ship 280K/40Cay</t>
  </si>
  <si>
    <t xml:space="preserve"> TIỂN NHẬP</t>
  </si>
  <si>
    <t>Vú sữa hoàng kim</t>
  </si>
  <si>
    <t>VUSUA3</t>
  </si>
  <si>
    <t>freeship</t>
  </si>
  <si>
    <t>TỒN từ 3.12.25</t>
  </si>
  <si>
    <t>Sầu riêng nhỏ</t>
  </si>
  <si>
    <t>SAURIENG1</t>
  </si>
  <si>
    <t>Sơri</t>
  </si>
  <si>
    <t>SORI</t>
  </si>
  <si>
    <t>Lựu thái</t>
  </si>
  <si>
    <t>Chùm ruột</t>
  </si>
  <si>
    <t>CHUMRUOT</t>
  </si>
  <si>
    <t>LUU3</t>
  </si>
  <si>
    <t>Mây nhỏ (mini)</t>
  </si>
  <si>
    <t>MAY1</t>
  </si>
  <si>
    <t>MAY2</t>
  </si>
  <si>
    <t>Thù lù</t>
  </si>
  <si>
    <t>THULU</t>
  </si>
  <si>
    <t>Vú sữa tím lớn</t>
  </si>
  <si>
    <t>VUSUA4</t>
  </si>
  <si>
    <t>SPX-NVAY</t>
  </si>
  <si>
    <t>SPX-4K97</t>
  </si>
  <si>
    <t>SHOPEE-1BVX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</si>
</sst>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m/d/yyyy;@"/>
    <numFmt numFmtId="165" formatCode="#,##0\ [$đ-42A]"/>
    <numFmt numFmtId="167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b/>
      <sz val="12"/>
      <color rgb="FFFF0000"/>
      <name val="Times New Roman"/>
      <family val="1"/>
    </font>
    <font>
      <b/>
      <i/>
      <sz val="12"/>
      <color rgb="FFFF0000"/>
      <name val="Times New Roman"/>
      <family val="1"/>
    </font>
    <font>
      <sz val="8"/>
      <name val="Calibri"/>
      <family val="2"/>
      <scheme val="minor"/>
    </font>
    <font>
      <sz val="14"/>
      <color rgb="FFFF0000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1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4F0D8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/>
    <xf numFmtId="0" fontId="2" fillId="0" borderId="1" xfId="0" applyFont="1" applyBorder="1"/>
    <xf numFmtId="164" fontId="2" fillId="0" borderId="2" xfId="0" applyNumberFormat="1" applyFont="1" applyBorder="1"/>
    <xf numFmtId="164" fontId="2" fillId="0" borderId="1" xfId="0" applyNumberFormat="1" applyFont="1" applyBorder="1"/>
    <xf numFmtId="164" fontId="2" fillId="0" borderId="0" xfId="0" applyNumberFormat="1" applyFont="1"/>
    <xf numFmtId="0" fontId="2" fillId="0" borderId="1" xfId="1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1" applyNumberFormat="1" applyFont="1" applyAlignment="1">
      <alignment horizontal="center"/>
    </xf>
    <xf numFmtId="0" fontId="2" fillId="0" borderId="0" xfId="0" applyFont="1" applyAlignment="1">
      <alignment vertical="center"/>
    </xf>
    <xf numFmtId="0" fontId="3" fillId="0" borderId="1" xfId="0" applyFont="1" applyBorder="1"/>
    <xf numFmtId="164" fontId="4" fillId="2" borderId="3" xfId="0" applyNumberFormat="1" applyFont="1" applyFill="1" applyBorder="1" applyAlignment="1">
      <alignment vertical="center"/>
    </xf>
    <xf numFmtId="0" fontId="4" fillId="2" borderId="4" xfId="1" applyNumberFormat="1" applyFont="1" applyFill="1" applyBorder="1" applyAlignment="1">
      <alignment vertical="center"/>
    </xf>
    <xf numFmtId="0" fontId="4" fillId="2" borderId="4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164" fontId="2" fillId="0" borderId="8" xfId="0" applyNumberFormat="1" applyFont="1" applyBorder="1"/>
    <xf numFmtId="0" fontId="2" fillId="0" borderId="9" xfId="0" applyFont="1" applyBorder="1"/>
    <xf numFmtId="49" fontId="4" fillId="2" borderId="4" xfId="0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0" xfId="1" applyNumberFormat="1" applyFont="1" applyBorder="1" applyAlignment="1">
      <alignment horizontal="center"/>
    </xf>
    <xf numFmtId="0" fontId="7" fillId="0" borderId="11" xfId="0" applyFont="1" applyBorder="1"/>
    <xf numFmtId="0" fontId="7" fillId="0" borderId="12" xfId="0" applyFont="1" applyBorder="1"/>
    <xf numFmtId="0" fontId="8" fillId="0" borderId="0" xfId="0" applyFont="1"/>
    <xf numFmtId="0" fontId="8" fillId="0" borderId="2" xfId="0" applyFont="1" applyBorder="1"/>
    <xf numFmtId="0" fontId="9" fillId="3" borderId="2" xfId="0" applyFont="1" applyFill="1" applyBorder="1"/>
    <xf numFmtId="0" fontId="8" fillId="0" borderId="1" xfId="0" applyFont="1" applyBorder="1"/>
    <xf numFmtId="0" fontId="9" fillId="3" borderId="1" xfId="0" applyFont="1" applyFill="1" applyBorder="1"/>
    <xf numFmtId="0" fontId="10" fillId="3" borderId="1" xfId="0" applyFont="1" applyFill="1" applyBorder="1"/>
    <xf numFmtId="165" fontId="9" fillId="3" borderId="1" xfId="0" applyNumberFormat="1" applyFont="1" applyFill="1" applyBorder="1" applyAlignment="1">
      <alignment wrapText="1"/>
    </xf>
    <xf numFmtId="0" fontId="9" fillId="3" borderId="1" xfId="0" applyFont="1" applyFill="1" applyBorder="1" applyAlignment="1">
      <alignment wrapText="1"/>
    </xf>
    <xf numFmtId="0" fontId="9" fillId="4" borderId="1" xfId="0" applyFont="1" applyFill="1" applyBorder="1"/>
    <xf numFmtId="0" fontId="11" fillId="0" borderId="1" xfId="0" applyFont="1" applyBorder="1"/>
    <xf numFmtId="0" fontId="7" fillId="0" borderId="13" xfId="0" applyFont="1" applyBorder="1"/>
    <xf numFmtId="0" fontId="8" fillId="0" borderId="10" xfId="0" applyFont="1" applyBorder="1"/>
    <xf numFmtId="0" fontId="8" fillId="0" borderId="5" xfId="0" applyFont="1" applyBorder="1"/>
    <xf numFmtId="0" fontId="7" fillId="0" borderId="1" xfId="0" applyFont="1" applyBorder="1"/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7" fontId="8" fillId="0" borderId="0" xfId="1" applyNumberFormat="1" applyFont="1"/>
    <xf numFmtId="167" fontId="8" fillId="0" borderId="1" xfId="1" applyNumberFormat="1" applyFont="1" applyBorder="1"/>
    <xf numFmtId="14" fontId="8" fillId="0" borderId="1" xfId="0" applyNumberFormat="1" applyFont="1" applyBorder="1"/>
    <xf numFmtId="16" fontId="8" fillId="0" borderId="1" xfId="0" quotePrefix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4F0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4"/>
  <sheetViews>
    <sheetView tabSelected="1" zoomScale="80" zoomScaleNormal="80" zoomScaleSheetLayoutView="70" workbookViewId="0">
      <pane ySplit="1" topLeftCell="A2" activePane="bottomLeft" state="frozen"/>
      <selection pane="bottomLeft" activeCell="D5" sqref="D5"/>
    </sheetView>
  </sheetViews>
  <sheetFormatPr defaultRowHeight="15.5" x14ac:dyDescent="0.35"/>
  <cols>
    <col min="1" max="1" width="10.36328125" style="5" bestFit="1" customWidth="1"/>
    <col min="2" max="2" width="9.36328125" style="9" bestFit="1" customWidth="1"/>
    <col min="3" max="3" width="15.1796875" style="21" customWidth="1"/>
    <col min="4" max="4" width="14.6328125" style="1" customWidth="1"/>
    <col min="5" max="5" width="13.81640625" style="23" bestFit="1" customWidth="1"/>
    <col min="6" max="6" width="12.7265625" style="1" bestFit="1" customWidth="1"/>
    <col min="7" max="7" width="10.81640625" style="1" bestFit="1" customWidth="1"/>
    <col min="8" max="8" width="12.7265625" style="1" bestFit="1" customWidth="1"/>
    <col min="9" max="9" width="12.36328125" style="1" bestFit="1" customWidth="1"/>
    <col min="10" max="10" width="12.7265625" style="1" bestFit="1" customWidth="1"/>
    <col min="11" max="11" width="15" style="1" bestFit="1" customWidth="1"/>
    <col min="12" max="12" width="12.7265625" style="1" bestFit="1" customWidth="1"/>
    <col min="13" max="13" width="17.6328125" style="1" customWidth="1"/>
    <col min="14" max="14" width="12.36328125" style="1" bestFit="1" customWidth="1"/>
    <col min="15" max="15" width="15.26953125" style="1" customWidth="1"/>
    <col min="16" max="16" width="14.6328125" style="1" bestFit="1" customWidth="1"/>
    <col min="17" max="17" width="10.36328125" style="1" bestFit="1" customWidth="1"/>
    <col min="18" max="16384" width="8.7265625" style="1"/>
  </cols>
  <sheetData>
    <row r="1" spans="1:17" s="10" customFormat="1" ht="46" customHeight="1" x14ac:dyDescent="0.35">
      <c r="A1" s="12" t="s">
        <v>1</v>
      </c>
      <c r="B1" s="13" t="s">
        <v>0</v>
      </c>
      <c r="C1" s="20" t="s">
        <v>8</v>
      </c>
      <c r="D1" s="14" t="s">
        <v>34</v>
      </c>
      <c r="E1" s="15" t="s">
        <v>2</v>
      </c>
      <c r="F1" s="16" t="s">
        <v>3</v>
      </c>
      <c r="G1" s="16" t="s">
        <v>26</v>
      </c>
      <c r="H1" s="16" t="s">
        <v>3</v>
      </c>
      <c r="I1" s="16" t="s">
        <v>27</v>
      </c>
      <c r="J1" s="16" t="s">
        <v>3</v>
      </c>
      <c r="K1" s="16" t="s">
        <v>28</v>
      </c>
      <c r="L1" s="16" t="s">
        <v>3</v>
      </c>
      <c r="M1" s="16" t="s">
        <v>4</v>
      </c>
      <c r="N1" s="16" t="s">
        <v>3</v>
      </c>
      <c r="O1" s="16" t="s">
        <v>5</v>
      </c>
      <c r="P1" s="16" t="s">
        <v>6</v>
      </c>
      <c r="Q1" s="17" t="s">
        <v>7</v>
      </c>
    </row>
    <row r="2" spans="1:17" ht="28" customHeight="1" x14ac:dyDescent="0.35">
      <c r="A2" s="18">
        <v>45700</v>
      </c>
      <c r="B2" s="6">
        <v>2.12</v>
      </c>
      <c r="C2" s="7" t="s">
        <v>9</v>
      </c>
      <c r="D2" s="2" t="s">
        <v>280</v>
      </c>
      <c r="E2" s="8" t="s">
        <v>35</v>
      </c>
      <c r="F2" s="2">
        <v>1</v>
      </c>
      <c r="G2" s="2">
        <v>1</v>
      </c>
      <c r="H2" s="2">
        <v>1</v>
      </c>
      <c r="I2" s="2"/>
      <c r="J2" s="2"/>
      <c r="K2" s="2"/>
      <c r="L2" s="2"/>
      <c r="M2" s="2"/>
      <c r="N2" s="2"/>
      <c r="O2" s="2"/>
      <c r="P2" s="2"/>
      <c r="Q2" s="19"/>
    </row>
    <row r="3" spans="1:17" ht="28" customHeight="1" x14ac:dyDescent="0.35">
      <c r="A3" s="18"/>
      <c r="B3" s="6"/>
      <c r="C3" s="7" t="s">
        <v>10</v>
      </c>
      <c r="D3" s="2" t="s">
        <v>281</v>
      </c>
      <c r="E3" s="8"/>
      <c r="F3" s="2"/>
      <c r="G3" s="2"/>
      <c r="H3" s="2"/>
      <c r="I3" s="2">
        <v>2</v>
      </c>
      <c r="J3" s="2">
        <v>2</v>
      </c>
      <c r="K3" s="2"/>
      <c r="L3" s="2"/>
      <c r="M3" s="2"/>
      <c r="N3" s="2"/>
      <c r="O3" s="2"/>
      <c r="P3" s="2"/>
      <c r="Q3" s="19"/>
    </row>
    <row r="4" spans="1:17" ht="28" customHeight="1" x14ac:dyDescent="0.35">
      <c r="A4" s="18"/>
      <c r="B4" s="6"/>
      <c r="C4" s="7" t="s">
        <v>11</v>
      </c>
      <c r="D4" s="2" t="s">
        <v>282</v>
      </c>
      <c r="E4" s="8"/>
      <c r="F4" s="2"/>
      <c r="G4" s="2"/>
      <c r="H4" s="2"/>
      <c r="I4" s="2">
        <v>2</v>
      </c>
      <c r="J4" s="2">
        <v>5</v>
      </c>
      <c r="K4" s="2"/>
      <c r="L4" s="2"/>
      <c r="M4" s="2"/>
      <c r="N4" s="2"/>
      <c r="O4" s="2"/>
      <c r="P4" s="2"/>
      <c r="Q4" s="19"/>
    </row>
    <row r="5" spans="1:17" ht="28" customHeight="1" x14ac:dyDescent="0.35">
      <c r="A5" s="18"/>
      <c r="B5" s="6"/>
      <c r="C5" s="7" t="s">
        <v>12</v>
      </c>
      <c r="D5" s="2"/>
      <c r="E5" s="8"/>
      <c r="F5" s="2"/>
      <c r="G5" s="2">
        <v>1</v>
      </c>
      <c r="H5" s="2">
        <v>2</v>
      </c>
      <c r="I5" s="2"/>
      <c r="J5" s="2"/>
      <c r="K5" s="2"/>
      <c r="L5" s="2"/>
      <c r="M5" s="2"/>
      <c r="N5" s="2"/>
      <c r="O5" s="2"/>
      <c r="P5" s="2"/>
      <c r="Q5" s="19"/>
    </row>
    <row r="6" spans="1:17" ht="28" customHeight="1" x14ac:dyDescent="0.35">
      <c r="A6" s="18"/>
      <c r="B6" s="6" t="s">
        <v>13</v>
      </c>
      <c r="C6" s="7" t="s">
        <v>14</v>
      </c>
      <c r="D6" s="2"/>
      <c r="E6" s="8" t="s">
        <v>15</v>
      </c>
      <c r="F6" s="2">
        <v>1</v>
      </c>
      <c r="G6" s="2">
        <v>1</v>
      </c>
      <c r="H6" s="2">
        <v>1</v>
      </c>
      <c r="I6" s="2"/>
      <c r="J6" s="2"/>
      <c r="K6" s="2"/>
      <c r="L6" s="2"/>
      <c r="M6" s="2"/>
      <c r="N6" s="2"/>
      <c r="O6" s="2"/>
      <c r="P6" s="2"/>
      <c r="Q6" s="19"/>
    </row>
    <row r="7" spans="1:17" ht="28" customHeight="1" x14ac:dyDescent="0.35">
      <c r="A7" s="18"/>
      <c r="B7" s="6"/>
      <c r="C7" s="7"/>
      <c r="D7" s="2"/>
      <c r="E7" s="8" t="s">
        <v>16</v>
      </c>
      <c r="F7" s="2"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19"/>
    </row>
    <row r="8" spans="1:17" ht="28" customHeight="1" x14ac:dyDescent="0.35">
      <c r="A8" s="18"/>
      <c r="B8" s="6"/>
      <c r="C8" s="7" t="s">
        <v>17</v>
      </c>
      <c r="D8" s="2"/>
      <c r="E8" s="8"/>
      <c r="F8" s="2"/>
      <c r="G8" s="2"/>
      <c r="H8" s="2"/>
      <c r="I8" s="2"/>
      <c r="J8" s="2"/>
      <c r="K8" s="2">
        <v>2</v>
      </c>
      <c r="L8" s="2">
        <v>7</v>
      </c>
      <c r="M8" s="2"/>
      <c r="N8" s="2"/>
      <c r="O8" s="2"/>
      <c r="P8" s="2"/>
      <c r="Q8" s="19"/>
    </row>
    <row r="9" spans="1:17" ht="28" customHeight="1" x14ac:dyDescent="0.35">
      <c r="A9" s="18"/>
      <c r="B9" s="6"/>
      <c r="C9" s="7" t="s">
        <v>18</v>
      </c>
      <c r="D9" s="2"/>
      <c r="E9" s="8" t="s">
        <v>15</v>
      </c>
      <c r="F9" s="2">
        <v>1</v>
      </c>
      <c r="G9" s="2">
        <v>1</v>
      </c>
      <c r="H9" s="2">
        <v>1</v>
      </c>
      <c r="I9" s="2"/>
      <c r="J9" s="2"/>
      <c r="K9" s="2"/>
      <c r="L9" s="2"/>
      <c r="M9" s="2"/>
      <c r="N9" s="2"/>
      <c r="O9" s="2"/>
      <c r="P9" s="2"/>
      <c r="Q9" s="19"/>
    </row>
    <row r="10" spans="1:17" ht="28" customHeight="1" x14ac:dyDescent="0.35">
      <c r="A10" s="18"/>
      <c r="B10" s="6"/>
      <c r="C10" s="7" t="s">
        <v>19</v>
      </c>
      <c r="D10" s="2"/>
      <c r="E10" s="8"/>
      <c r="F10" s="2"/>
      <c r="G10" s="2"/>
      <c r="H10" s="2"/>
      <c r="I10" s="2">
        <v>2</v>
      </c>
      <c r="J10" s="2">
        <v>1</v>
      </c>
      <c r="K10" s="2">
        <v>1</v>
      </c>
      <c r="L10" s="2">
        <v>1</v>
      </c>
      <c r="M10" s="2"/>
      <c r="N10" s="2"/>
      <c r="O10" s="2"/>
      <c r="P10" s="2"/>
      <c r="Q10" s="19"/>
    </row>
    <row r="11" spans="1:17" ht="28" customHeight="1" x14ac:dyDescent="0.35">
      <c r="A11" s="18"/>
      <c r="B11" s="6" t="s">
        <v>29</v>
      </c>
      <c r="C11" s="7" t="s">
        <v>20</v>
      </c>
      <c r="D11" s="2"/>
      <c r="E11" s="8" t="s">
        <v>21</v>
      </c>
      <c r="F11" s="2">
        <v>1</v>
      </c>
      <c r="G11" s="2">
        <v>1</v>
      </c>
      <c r="H11" s="2">
        <v>1</v>
      </c>
      <c r="I11" s="2"/>
      <c r="J11" s="2"/>
      <c r="K11" s="2"/>
      <c r="L11" s="2"/>
      <c r="M11" s="2"/>
      <c r="N11" s="2"/>
      <c r="O11" s="2"/>
      <c r="P11" s="2"/>
      <c r="Q11" s="19"/>
    </row>
    <row r="12" spans="1:17" ht="28" customHeight="1" x14ac:dyDescent="0.35">
      <c r="A12" s="18"/>
      <c r="B12" s="6"/>
      <c r="C12" s="7" t="s">
        <v>22</v>
      </c>
      <c r="D12" s="2"/>
      <c r="E12" s="8"/>
      <c r="F12" s="2"/>
      <c r="G12" s="2"/>
      <c r="H12" s="2"/>
      <c r="I12" s="2"/>
      <c r="J12" s="2"/>
      <c r="K12" s="2">
        <v>1</v>
      </c>
      <c r="L12" s="2">
        <v>2</v>
      </c>
      <c r="M12" s="2"/>
      <c r="N12" s="2"/>
      <c r="O12" s="2"/>
      <c r="P12" s="2"/>
      <c r="Q12" s="19"/>
    </row>
    <row r="13" spans="1:17" ht="28" customHeight="1" x14ac:dyDescent="0.35">
      <c r="A13" s="18"/>
      <c r="B13" s="6"/>
      <c r="C13" s="7" t="s">
        <v>23</v>
      </c>
      <c r="D13" s="2"/>
      <c r="E13" s="8" t="s">
        <v>24</v>
      </c>
      <c r="F13" s="2">
        <v>2</v>
      </c>
      <c r="G13" s="2">
        <v>1</v>
      </c>
      <c r="H13" s="2">
        <v>1</v>
      </c>
      <c r="I13" s="2"/>
      <c r="J13" s="2"/>
      <c r="K13" s="2"/>
      <c r="L13" s="2"/>
      <c r="M13" s="2"/>
      <c r="N13" s="2"/>
      <c r="O13" s="2"/>
      <c r="P13" s="2"/>
      <c r="Q13" s="19"/>
    </row>
    <row r="14" spans="1:17" ht="28" customHeight="1" x14ac:dyDescent="0.35">
      <c r="A14" s="18"/>
      <c r="B14" s="6"/>
      <c r="C14" s="7" t="s">
        <v>25</v>
      </c>
      <c r="D14" s="2"/>
      <c r="E14" s="8"/>
      <c r="F14" s="2"/>
      <c r="G14" s="2">
        <v>1</v>
      </c>
      <c r="H14" s="2">
        <v>1</v>
      </c>
      <c r="I14" s="2"/>
      <c r="J14" s="2"/>
      <c r="K14" s="2"/>
      <c r="L14" s="2"/>
      <c r="M14" s="2"/>
      <c r="N14" s="2"/>
      <c r="O14" s="2"/>
      <c r="P14" s="2"/>
      <c r="Q14" s="19"/>
    </row>
    <row r="15" spans="1:17" ht="28" customHeight="1" x14ac:dyDescent="0.35">
      <c r="A15" s="43" t="s">
        <v>36</v>
      </c>
      <c r="B15" s="44"/>
      <c r="C15" s="44"/>
      <c r="D15" s="44"/>
      <c r="E15" s="22"/>
      <c r="F15" s="11">
        <f>SUM(F2:F14)</f>
        <v>7</v>
      </c>
      <c r="G15" s="2"/>
      <c r="H15" s="11">
        <f>SUMPRODUCT(G2:G14,H2:H14)</f>
        <v>8</v>
      </c>
      <c r="I15" s="11"/>
      <c r="J15" s="11">
        <f t="shared" ref="J15:L15" si="0">SUMPRODUCT(I2:I14,J2:J14)</f>
        <v>16</v>
      </c>
      <c r="K15" s="11"/>
      <c r="L15" s="11">
        <f t="shared" si="0"/>
        <v>17</v>
      </c>
      <c r="M15" s="2"/>
      <c r="N15" s="2"/>
      <c r="O15" s="2"/>
      <c r="P15" s="2"/>
      <c r="Q15" s="19"/>
    </row>
    <row r="16" spans="1:17" ht="28" customHeight="1" x14ac:dyDescent="0.35">
      <c r="A16" s="18">
        <v>45728</v>
      </c>
      <c r="B16" s="6" t="s">
        <v>30</v>
      </c>
      <c r="C16" s="7" t="s">
        <v>31</v>
      </c>
      <c r="D16" s="2"/>
      <c r="E16" s="8" t="s">
        <v>32</v>
      </c>
      <c r="F16" s="2">
        <v>1</v>
      </c>
      <c r="G16" s="2">
        <v>1</v>
      </c>
      <c r="H16" s="2">
        <v>1</v>
      </c>
      <c r="I16" s="2"/>
      <c r="J16" s="2"/>
      <c r="K16" s="2"/>
      <c r="L16" s="2"/>
      <c r="M16" s="2"/>
      <c r="N16" s="2"/>
      <c r="O16" s="2"/>
      <c r="P16" s="2"/>
      <c r="Q16" s="19"/>
    </row>
    <row r="17" spans="1:17" ht="28" customHeight="1" x14ac:dyDescent="0.35">
      <c r="A17" s="18"/>
      <c r="B17" s="6">
        <v>3.12</v>
      </c>
      <c r="C17" s="7" t="s">
        <v>33</v>
      </c>
      <c r="D17" s="2"/>
      <c r="E17" s="8"/>
      <c r="F17" s="2"/>
      <c r="G17" s="2"/>
      <c r="H17" s="2"/>
      <c r="I17" s="2"/>
      <c r="J17" s="2"/>
      <c r="K17" s="2">
        <v>1</v>
      </c>
      <c r="L17" s="2">
        <v>1</v>
      </c>
      <c r="M17" s="2"/>
      <c r="N17" s="2"/>
      <c r="O17" s="2"/>
      <c r="P17" s="2"/>
      <c r="Q17" s="19"/>
    </row>
    <row r="18" spans="1:17" ht="28" customHeight="1" x14ac:dyDescent="0.35">
      <c r="A18" s="18"/>
      <c r="B18" s="1"/>
      <c r="C18" s="6" t="s">
        <v>37</v>
      </c>
      <c r="D18" s="2"/>
      <c r="E18" s="8"/>
      <c r="F18" s="2"/>
      <c r="G18" s="2"/>
      <c r="H18" s="2"/>
      <c r="I18" s="2"/>
      <c r="J18" s="2"/>
      <c r="K18" s="2">
        <v>1</v>
      </c>
      <c r="L18" s="2">
        <v>1</v>
      </c>
      <c r="M18" s="2"/>
      <c r="N18" s="2"/>
      <c r="O18" s="2"/>
      <c r="P18" s="2"/>
      <c r="Q18" s="19"/>
    </row>
    <row r="19" spans="1:17" ht="28" customHeight="1" x14ac:dyDescent="0.35">
      <c r="A19" s="18"/>
      <c r="B19" s="6"/>
      <c r="C19" s="7" t="s">
        <v>38</v>
      </c>
      <c r="D19" s="2"/>
      <c r="E19" s="8"/>
      <c r="F19" s="2"/>
      <c r="G19" s="2">
        <v>2</v>
      </c>
      <c r="H19" s="2">
        <v>1</v>
      </c>
      <c r="I19" s="2"/>
      <c r="J19" s="2"/>
      <c r="K19" s="2"/>
      <c r="L19" s="2"/>
      <c r="M19" s="2"/>
      <c r="N19" s="2"/>
      <c r="O19" s="2"/>
      <c r="P19" s="2"/>
      <c r="Q19" s="19"/>
    </row>
    <row r="20" spans="1:17" ht="28" customHeight="1" x14ac:dyDescent="0.35">
      <c r="A20" s="18"/>
      <c r="B20" s="6"/>
      <c r="C20" s="7" t="s">
        <v>39</v>
      </c>
      <c r="D20" s="2"/>
      <c r="E20" s="8"/>
      <c r="F20" s="2"/>
      <c r="G20" s="2"/>
      <c r="H20" s="2"/>
      <c r="I20" s="2">
        <v>2</v>
      </c>
      <c r="J20" s="2">
        <v>1</v>
      </c>
      <c r="K20" s="2"/>
      <c r="L20" s="2"/>
      <c r="M20" s="2"/>
      <c r="N20" s="2"/>
      <c r="O20" s="2"/>
      <c r="P20" s="2"/>
      <c r="Q20" s="19"/>
    </row>
    <row r="21" spans="1:17" ht="28" customHeight="1" x14ac:dyDescent="0.35">
      <c r="A21" s="18"/>
      <c r="B21" s="6"/>
      <c r="C21" s="7" t="s">
        <v>40</v>
      </c>
      <c r="D21" s="2"/>
      <c r="E21" s="8"/>
      <c r="F21" s="2"/>
      <c r="G21" s="2"/>
      <c r="H21" s="2"/>
      <c r="I21" s="2">
        <v>2</v>
      </c>
      <c r="J21" s="2">
        <v>1</v>
      </c>
      <c r="K21" s="2"/>
      <c r="L21" s="2"/>
      <c r="M21" s="2"/>
      <c r="N21" s="2"/>
      <c r="O21" s="2"/>
      <c r="P21" s="2"/>
      <c r="Q21" s="19"/>
    </row>
    <row r="22" spans="1:17" ht="28" customHeight="1" x14ac:dyDescent="0.35">
      <c r="A22" s="18"/>
      <c r="B22" s="6"/>
      <c r="C22" s="7" t="s">
        <v>41</v>
      </c>
      <c r="D22" s="2"/>
      <c r="E22" s="8"/>
      <c r="F22" s="2"/>
      <c r="G22" s="2"/>
      <c r="H22" s="2"/>
      <c r="I22" s="2"/>
      <c r="J22" s="2"/>
      <c r="K22" s="2">
        <v>1</v>
      </c>
      <c r="L22" s="2">
        <v>1</v>
      </c>
      <c r="M22" s="2"/>
      <c r="N22" s="2"/>
      <c r="O22" s="2"/>
      <c r="P22" s="2"/>
      <c r="Q22" s="19"/>
    </row>
    <row r="23" spans="1:17" ht="28" customHeight="1" x14ac:dyDescent="0.35">
      <c r="A23" s="18"/>
      <c r="B23" s="6"/>
      <c r="C23" s="7" t="s">
        <v>42</v>
      </c>
      <c r="D23" s="2"/>
      <c r="E23" s="8"/>
      <c r="F23" s="2"/>
      <c r="G23" s="2"/>
      <c r="H23" s="2"/>
      <c r="I23" s="2"/>
      <c r="J23" s="2"/>
      <c r="K23" s="2"/>
      <c r="L23" s="2"/>
      <c r="M23" s="2" t="s">
        <v>43</v>
      </c>
      <c r="N23" s="2">
        <v>1</v>
      </c>
      <c r="O23" s="2"/>
      <c r="P23" s="2"/>
      <c r="Q23" s="19"/>
    </row>
    <row r="24" spans="1:17" ht="28" customHeight="1" x14ac:dyDescent="0.35">
      <c r="A24" s="18"/>
      <c r="B24" s="6">
        <v>3.12</v>
      </c>
      <c r="C24" s="7" t="s">
        <v>19</v>
      </c>
      <c r="D24" s="2"/>
      <c r="E24" s="8" t="s">
        <v>35</v>
      </c>
      <c r="F24" s="2">
        <v>1</v>
      </c>
      <c r="G24" s="2">
        <v>1</v>
      </c>
      <c r="H24" s="2">
        <v>1</v>
      </c>
      <c r="I24" s="2"/>
      <c r="J24" s="2"/>
      <c r="K24" s="2"/>
      <c r="L24" s="2"/>
      <c r="M24" s="2"/>
      <c r="N24" s="2"/>
      <c r="O24" s="2"/>
      <c r="P24" s="2"/>
      <c r="Q24" s="19"/>
    </row>
    <row r="25" spans="1:17" ht="25" customHeight="1" x14ac:dyDescent="0.35">
      <c r="A25" s="18"/>
      <c r="B25" s="6"/>
      <c r="C25" s="7" t="s">
        <v>44</v>
      </c>
      <c r="D25" s="2"/>
      <c r="E25" s="8"/>
      <c r="F25" s="2"/>
      <c r="G25" s="2"/>
      <c r="H25" s="2"/>
      <c r="I25" s="2">
        <v>2</v>
      </c>
      <c r="J25" s="2">
        <v>2</v>
      </c>
      <c r="K25" s="2"/>
      <c r="L25" s="2"/>
      <c r="M25" s="2"/>
      <c r="N25" s="2"/>
      <c r="O25" s="2"/>
      <c r="P25" s="2"/>
      <c r="Q25" s="19"/>
    </row>
    <row r="26" spans="1:17" ht="25" customHeight="1" x14ac:dyDescent="0.35">
      <c r="A26" s="18"/>
      <c r="B26" s="6"/>
      <c r="C26" s="7" t="s">
        <v>45</v>
      </c>
      <c r="D26" s="2"/>
      <c r="E26" s="8"/>
      <c r="F26" s="2"/>
      <c r="G26" s="2">
        <v>2</v>
      </c>
      <c r="H26" s="2">
        <v>1</v>
      </c>
      <c r="I26" s="2"/>
      <c r="J26" s="2"/>
      <c r="K26" s="2"/>
      <c r="L26" s="2"/>
      <c r="M26" s="2"/>
      <c r="N26" s="2"/>
      <c r="O26" s="2"/>
      <c r="P26" s="2"/>
      <c r="Q26" s="19"/>
    </row>
    <row r="27" spans="1:17" ht="25" customHeight="1" x14ac:dyDescent="0.35">
      <c r="A27" s="18"/>
      <c r="B27" s="6"/>
      <c r="C27" s="7" t="s">
        <v>46</v>
      </c>
      <c r="D27" s="2"/>
      <c r="E27" s="8"/>
      <c r="F27" s="2"/>
      <c r="G27" s="2"/>
      <c r="H27" s="2"/>
      <c r="I27" s="2">
        <v>2</v>
      </c>
      <c r="J27" s="2">
        <v>1</v>
      </c>
      <c r="K27" s="2"/>
      <c r="L27" s="2"/>
      <c r="M27" s="2"/>
      <c r="N27" s="2"/>
      <c r="O27" s="2"/>
      <c r="P27" s="2"/>
      <c r="Q27" s="19"/>
    </row>
    <row r="28" spans="1:17" ht="25" customHeight="1" x14ac:dyDescent="0.35">
      <c r="A28" s="18"/>
      <c r="B28" s="6"/>
      <c r="C28" s="7" t="s">
        <v>47</v>
      </c>
      <c r="D28" s="2"/>
      <c r="E28" s="8" t="s">
        <v>48</v>
      </c>
      <c r="F28" s="2">
        <v>1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19"/>
    </row>
    <row r="29" spans="1:17" ht="25" customHeight="1" x14ac:dyDescent="0.35">
      <c r="A29" s="18"/>
      <c r="B29" s="6"/>
      <c r="C29" s="7" t="s">
        <v>49</v>
      </c>
      <c r="D29" s="2"/>
      <c r="E29" s="8"/>
      <c r="F29" s="2"/>
      <c r="G29" s="2"/>
      <c r="H29" s="2"/>
      <c r="I29" s="2">
        <v>1</v>
      </c>
      <c r="J29" s="2">
        <v>1</v>
      </c>
      <c r="K29" s="2"/>
      <c r="L29" s="2"/>
      <c r="M29" s="2"/>
      <c r="N29" s="2"/>
      <c r="O29" s="2"/>
      <c r="P29" s="2"/>
      <c r="Q29" s="19"/>
    </row>
    <row r="30" spans="1:17" ht="25" customHeight="1" x14ac:dyDescent="0.35">
      <c r="A30" s="18"/>
      <c r="B30" s="6"/>
      <c r="C30" s="7" t="s">
        <v>50</v>
      </c>
      <c r="D30" s="2"/>
      <c r="E30" s="8"/>
      <c r="F30" s="2"/>
      <c r="G30" s="2"/>
      <c r="H30" s="2"/>
      <c r="I30" s="2"/>
      <c r="J30" s="2"/>
      <c r="K30" s="2">
        <v>1</v>
      </c>
      <c r="L30" s="2">
        <v>1</v>
      </c>
      <c r="M30" s="2"/>
      <c r="N30" s="2"/>
      <c r="O30" s="2"/>
      <c r="P30" s="2"/>
      <c r="Q30" s="19"/>
    </row>
    <row r="31" spans="1:17" ht="25" customHeight="1" x14ac:dyDescent="0.35">
      <c r="A31" s="18"/>
      <c r="B31" s="6"/>
      <c r="C31" s="7" t="s">
        <v>51</v>
      </c>
      <c r="D31" s="2"/>
      <c r="E31" s="8" t="s">
        <v>52</v>
      </c>
      <c r="F31" s="2">
        <v>1</v>
      </c>
      <c r="G31" s="2">
        <v>1</v>
      </c>
      <c r="H31" s="2">
        <v>1</v>
      </c>
      <c r="I31" s="2"/>
      <c r="J31" s="2"/>
      <c r="K31" s="2"/>
      <c r="L31" s="2"/>
      <c r="M31" s="2"/>
      <c r="N31" s="2"/>
      <c r="O31" s="2"/>
      <c r="P31" s="2"/>
      <c r="Q31" s="19"/>
    </row>
    <row r="32" spans="1:17" ht="25" customHeight="1" x14ac:dyDescent="0.35">
      <c r="A32" s="18"/>
      <c r="B32" s="6"/>
      <c r="C32" s="7" t="s">
        <v>53</v>
      </c>
      <c r="D32" s="2"/>
      <c r="E32" s="8" t="s">
        <v>54</v>
      </c>
      <c r="F32" s="2">
        <v>1</v>
      </c>
      <c r="G32" s="2">
        <v>1</v>
      </c>
      <c r="H32" s="2">
        <v>1</v>
      </c>
      <c r="I32" s="2"/>
      <c r="J32" s="2"/>
      <c r="K32" s="2"/>
      <c r="L32" s="2"/>
      <c r="M32" s="2"/>
      <c r="N32" s="2"/>
      <c r="O32" s="2"/>
      <c r="P32" s="2"/>
      <c r="Q32" s="19"/>
    </row>
    <row r="33" spans="1:17" ht="25" customHeight="1" x14ac:dyDescent="0.35">
      <c r="A33" s="18"/>
      <c r="B33" s="6"/>
      <c r="C33" s="7" t="s">
        <v>55</v>
      </c>
      <c r="D33" s="2"/>
      <c r="E33" s="8"/>
      <c r="F33" s="2"/>
      <c r="G33" s="2">
        <v>1</v>
      </c>
      <c r="H33" s="2">
        <v>1</v>
      </c>
      <c r="I33" s="2"/>
      <c r="J33" s="2"/>
      <c r="K33" s="2"/>
      <c r="L33" s="2"/>
      <c r="M33" s="2"/>
      <c r="N33" s="2"/>
      <c r="O33" s="2"/>
      <c r="P33" s="2"/>
      <c r="Q33" s="19"/>
    </row>
    <row r="34" spans="1:17" ht="25" customHeight="1" x14ac:dyDescent="0.35">
      <c r="A34" s="18"/>
      <c r="B34" s="6"/>
      <c r="C34" s="7" t="s">
        <v>56</v>
      </c>
      <c r="D34" s="2"/>
      <c r="E34" s="8"/>
      <c r="F34" s="2"/>
      <c r="G34" s="2">
        <v>1</v>
      </c>
      <c r="H34" s="2">
        <v>2</v>
      </c>
      <c r="I34" s="2"/>
      <c r="J34" s="2"/>
      <c r="K34" s="2"/>
      <c r="L34" s="2"/>
      <c r="M34" s="2"/>
      <c r="N34" s="2"/>
      <c r="O34" s="2"/>
      <c r="P34" s="2"/>
      <c r="Q34" s="19"/>
    </row>
    <row r="35" spans="1:17" ht="25" customHeight="1" x14ac:dyDescent="0.35">
      <c r="A35" s="18"/>
      <c r="B35" s="6"/>
      <c r="C35" s="7" t="s">
        <v>57</v>
      </c>
      <c r="D35" s="2"/>
      <c r="E35" s="8"/>
      <c r="F35" s="2"/>
      <c r="G35" s="2">
        <v>1</v>
      </c>
      <c r="H35" s="2">
        <v>2</v>
      </c>
      <c r="I35" s="2"/>
      <c r="J35" s="2"/>
      <c r="K35" s="2"/>
      <c r="L35" s="2"/>
      <c r="M35" s="2"/>
      <c r="N35" s="2"/>
      <c r="O35" s="2"/>
      <c r="P35" s="2"/>
      <c r="Q35" s="19"/>
    </row>
    <row r="36" spans="1:17" ht="25" customHeight="1" x14ac:dyDescent="0.35">
      <c r="A36" s="18"/>
      <c r="B36" s="6"/>
      <c r="C36" s="7" t="s">
        <v>58</v>
      </c>
      <c r="D36" s="2"/>
      <c r="E36" s="8"/>
      <c r="F36" s="2"/>
      <c r="G36" s="2"/>
      <c r="H36" s="2"/>
      <c r="I36" s="2">
        <v>1</v>
      </c>
      <c r="J36" s="2">
        <v>1</v>
      </c>
      <c r="K36" s="2">
        <v>1</v>
      </c>
      <c r="L36" s="2">
        <v>1</v>
      </c>
      <c r="M36" s="2"/>
      <c r="N36" s="2"/>
      <c r="O36" s="2"/>
      <c r="P36" s="2"/>
      <c r="Q36" s="19"/>
    </row>
    <row r="37" spans="1:17" ht="25" customHeight="1" x14ac:dyDescent="0.35">
      <c r="A37" s="18"/>
      <c r="B37" s="6" t="s">
        <v>59</v>
      </c>
      <c r="C37" s="7" t="s">
        <v>60</v>
      </c>
      <c r="D37" s="2"/>
      <c r="E37" s="8" t="s">
        <v>61</v>
      </c>
      <c r="F37" s="2">
        <v>1</v>
      </c>
      <c r="G37" s="2">
        <v>1</v>
      </c>
      <c r="H37" s="2">
        <v>1</v>
      </c>
      <c r="I37" s="2"/>
      <c r="J37" s="2"/>
      <c r="K37" s="2"/>
      <c r="L37" s="2"/>
      <c r="M37" s="2"/>
      <c r="N37" s="2"/>
      <c r="O37" s="2"/>
      <c r="P37" s="2"/>
      <c r="Q37" s="19"/>
    </row>
    <row r="38" spans="1:17" ht="25" customHeight="1" x14ac:dyDescent="0.35">
      <c r="A38" s="4"/>
      <c r="B38" s="6"/>
      <c r="C38" s="7" t="s">
        <v>62</v>
      </c>
      <c r="D38" s="2"/>
      <c r="E38" s="8"/>
      <c r="F38" s="2"/>
      <c r="G38" s="2">
        <v>1</v>
      </c>
      <c r="H38" s="2">
        <v>10</v>
      </c>
      <c r="I38" s="2"/>
      <c r="J38" s="2"/>
      <c r="K38" s="2"/>
      <c r="L38" s="2"/>
      <c r="M38" s="2"/>
      <c r="N38" s="2"/>
      <c r="O38" s="2"/>
      <c r="P38" s="2"/>
      <c r="Q38" s="2"/>
    </row>
    <row r="39" spans="1:17" ht="25" customHeight="1" x14ac:dyDescent="0.35">
      <c r="A39" s="4"/>
      <c r="B39" s="6"/>
      <c r="C39" s="7" t="s">
        <v>63</v>
      </c>
      <c r="D39" s="2"/>
      <c r="E39" s="8" t="s">
        <v>64</v>
      </c>
      <c r="F39" s="2">
        <v>1</v>
      </c>
      <c r="G39" s="2">
        <v>1</v>
      </c>
      <c r="H39" s="2">
        <v>1</v>
      </c>
      <c r="I39" s="2"/>
      <c r="J39" s="2"/>
      <c r="K39" s="2"/>
      <c r="L39" s="2"/>
      <c r="M39" s="2"/>
      <c r="N39" s="2"/>
      <c r="O39" s="2"/>
      <c r="P39" s="2"/>
      <c r="Q39" s="2"/>
    </row>
    <row r="40" spans="1:17" ht="25" customHeight="1" x14ac:dyDescent="0.35">
      <c r="A40" s="4"/>
      <c r="B40" s="6"/>
      <c r="C40" s="7" t="s">
        <v>65</v>
      </c>
      <c r="D40" s="2"/>
      <c r="E40" s="8"/>
      <c r="F40" s="2"/>
      <c r="G40" s="2"/>
      <c r="H40" s="2"/>
      <c r="I40" s="2">
        <v>2</v>
      </c>
      <c r="J40" s="2">
        <v>1</v>
      </c>
      <c r="K40" s="2"/>
      <c r="L40" s="2"/>
      <c r="M40" s="2"/>
      <c r="N40" s="2"/>
      <c r="O40" s="2"/>
      <c r="P40" s="2"/>
      <c r="Q40" s="2"/>
    </row>
    <row r="41" spans="1:17" x14ac:dyDescent="0.35">
      <c r="A41" s="4"/>
      <c r="B41" s="6"/>
      <c r="C41" s="7" t="s">
        <v>66</v>
      </c>
      <c r="D41" s="2"/>
      <c r="E41" s="8"/>
      <c r="F41" s="2"/>
      <c r="G41" s="2"/>
      <c r="H41" s="2"/>
      <c r="I41" s="2">
        <v>2</v>
      </c>
      <c r="J41" s="2">
        <v>1</v>
      </c>
      <c r="K41" s="2"/>
      <c r="L41" s="2"/>
      <c r="M41" s="2"/>
      <c r="N41" s="2"/>
      <c r="O41" s="2"/>
      <c r="P41" s="2"/>
      <c r="Q41" s="2"/>
    </row>
    <row r="42" spans="1:17" x14ac:dyDescent="0.35">
      <c r="A42" s="4"/>
      <c r="B42" s="6"/>
      <c r="C42" s="7" t="s">
        <v>67</v>
      </c>
      <c r="D42" s="2"/>
      <c r="E42" s="8"/>
      <c r="F42" s="2"/>
      <c r="G42" s="2"/>
      <c r="H42" s="2"/>
      <c r="I42" s="2">
        <v>2</v>
      </c>
      <c r="J42" s="2">
        <v>1</v>
      </c>
      <c r="K42" s="2"/>
      <c r="L42" s="2"/>
      <c r="M42" s="2"/>
      <c r="N42" s="2"/>
      <c r="O42" s="2"/>
      <c r="P42" s="2"/>
      <c r="Q42" s="2"/>
    </row>
    <row r="43" spans="1:17" x14ac:dyDescent="0.35">
      <c r="A43" s="3"/>
      <c r="B43" s="24">
        <v>3.12</v>
      </c>
      <c r="C43" s="7" t="s">
        <v>68</v>
      </c>
      <c r="D43" s="2"/>
      <c r="E43" s="8"/>
      <c r="F43" s="2"/>
      <c r="G43" s="2">
        <v>2</v>
      </c>
      <c r="H43" s="2">
        <v>1</v>
      </c>
      <c r="I43" s="2"/>
      <c r="J43" s="2"/>
      <c r="K43" s="2"/>
      <c r="L43" s="2"/>
      <c r="M43" s="2"/>
      <c r="N43" s="2"/>
      <c r="O43" s="2"/>
      <c r="P43" s="2"/>
      <c r="Q43" s="2"/>
    </row>
    <row r="44" spans="1:17" x14ac:dyDescent="0.35">
      <c r="A44" s="4"/>
      <c r="B44" s="6"/>
      <c r="C44" s="7" t="s">
        <v>69</v>
      </c>
      <c r="D44" s="2"/>
      <c r="E44" s="8"/>
      <c r="F44" s="2"/>
      <c r="G44" s="2">
        <v>2</v>
      </c>
      <c r="H44" s="2">
        <v>1</v>
      </c>
      <c r="I44" s="2"/>
      <c r="J44" s="2"/>
      <c r="K44" s="2"/>
      <c r="L44" s="2"/>
      <c r="M44" s="2"/>
      <c r="N44" s="2"/>
      <c r="O44" s="2"/>
      <c r="P44" s="2"/>
      <c r="Q44" s="2"/>
    </row>
    <row r="45" spans="1:17" x14ac:dyDescent="0.35">
      <c r="A45" s="4"/>
      <c r="B45" s="6"/>
      <c r="C45" s="7" t="s">
        <v>70</v>
      </c>
      <c r="D45" s="2"/>
      <c r="E45" s="8" t="s">
        <v>71</v>
      </c>
      <c r="F45" s="2">
        <v>1</v>
      </c>
      <c r="G45" s="2">
        <v>1</v>
      </c>
      <c r="H45" s="2">
        <v>1</v>
      </c>
      <c r="I45" s="2"/>
      <c r="J45" s="2"/>
      <c r="K45" s="2"/>
      <c r="L45" s="2"/>
      <c r="M45" s="2"/>
      <c r="N45" s="2"/>
      <c r="O45" s="2"/>
      <c r="P45" s="2"/>
      <c r="Q45" s="2"/>
    </row>
    <row r="46" spans="1:17" x14ac:dyDescent="0.35">
      <c r="A46" s="4"/>
      <c r="B46" s="6"/>
      <c r="C46" s="7" t="s">
        <v>72</v>
      </c>
      <c r="D46" s="2"/>
      <c r="E46" s="8"/>
      <c r="F46" s="2"/>
      <c r="G46" s="2"/>
      <c r="H46" s="2"/>
      <c r="I46" s="2">
        <v>2</v>
      </c>
      <c r="J46" s="2">
        <v>1</v>
      </c>
      <c r="K46" s="2"/>
      <c r="L46" s="2"/>
      <c r="M46" s="2"/>
      <c r="N46" s="2"/>
      <c r="O46" s="2"/>
      <c r="P46" s="2"/>
      <c r="Q46" s="2"/>
    </row>
    <row r="47" spans="1:17" x14ac:dyDescent="0.35">
      <c r="A47" s="4"/>
      <c r="B47" s="6"/>
      <c r="C47" s="7" t="s">
        <v>73</v>
      </c>
      <c r="D47" s="2"/>
      <c r="E47" s="8"/>
      <c r="F47" s="2"/>
      <c r="G47" s="2">
        <v>1</v>
      </c>
      <c r="H47" s="2">
        <v>2</v>
      </c>
      <c r="I47" s="2"/>
      <c r="J47" s="2"/>
      <c r="K47" s="2"/>
      <c r="L47" s="2"/>
      <c r="M47" s="2"/>
      <c r="N47" s="2"/>
      <c r="O47" s="2"/>
      <c r="P47" s="2"/>
      <c r="Q47" s="2"/>
    </row>
    <row r="48" spans="1:17" x14ac:dyDescent="0.35">
      <c r="A48" s="4"/>
      <c r="B48" s="6"/>
      <c r="C48" s="7" t="s">
        <v>74</v>
      </c>
      <c r="D48" s="2"/>
      <c r="E48" s="8"/>
      <c r="F48" s="2"/>
      <c r="G48" s="2">
        <v>1</v>
      </c>
      <c r="H48" s="2">
        <v>2</v>
      </c>
      <c r="I48" s="2"/>
      <c r="J48" s="2"/>
      <c r="K48" s="2"/>
      <c r="L48" s="2"/>
      <c r="M48" s="2"/>
      <c r="N48" s="2"/>
      <c r="O48" s="2"/>
      <c r="P48" s="2"/>
      <c r="Q48" s="2"/>
    </row>
    <row r="49" spans="1:17" x14ac:dyDescent="0.35">
      <c r="A49" s="4"/>
      <c r="B49" s="6" t="s">
        <v>75</v>
      </c>
      <c r="C49" s="7" t="s">
        <v>76</v>
      </c>
      <c r="D49" s="2"/>
      <c r="E49" s="8" t="s">
        <v>77</v>
      </c>
      <c r="F49" s="2">
        <v>1</v>
      </c>
      <c r="G49" s="2">
        <v>1</v>
      </c>
      <c r="H49" s="2">
        <v>1</v>
      </c>
      <c r="I49" s="2"/>
      <c r="J49" s="2"/>
      <c r="K49" s="2"/>
      <c r="L49" s="2"/>
      <c r="M49" s="2"/>
      <c r="N49" s="2"/>
      <c r="O49" s="2"/>
      <c r="P49" s="2"/>
      <c r="Q49" s="2"/>
    </row>
    <row r="50" spans="1:17" x14ac:dyDescent="0.35">
      <c r="A50" s="4"/>
      <c r="B50" s="6"/>
      <c r="C50" s="7" t="s">
        <v>78</v>
      </c>
      <c r="D50" s="2"/>
      <c r="E50" s="8"/>
      <c r="F50" s="2"/>
      <c r="G50" s="2"/>
      <c r="H50" s="2"/>
      <c r="I50" s="2"/>
      <c r="J50" s="2"/>
      <c r="K50" s="2">
        <v>2</v>
      </c>
      <c r="L50" s="2">
        <v>1</v>
      </c>
      <c r="M50" s="2"/>
      <c r="N50" s="2"/>
      <c r="O50" s="2"/>
      <c r="P50" s="2"/>
      <c r="Q50" s="2"/>
    </row>
    <row r="51" spans="1:17" x14ac:dyDescent="0.35">
      <c r="A51" s="4"/>
      <c r="B51" s="6" t="s">
        <v>79</v>
      </c>
      <c r="C51" s="7" t="s">
        <v>80</v>
      </c>
      <c r="D51" s="2"/>
      <c r="E51" s="8"/>
      <c r="F51" s="2"/>
      <c r="G51" s="2"/>
      <c r="H51" s="2"/>
      <c r="I51" s="2"/>
      <c r="J51" s="2"/>
      <c r="K51" s="2">
        <v>2</v>
      </c>
      <c r="L51" s="2">
        <v>3</v>
      </c>
      <c r="M51" s="2"/>
      <c r="N51" s="2"/>
      <c r="O51" s="2"/>
      <c r="P51" s="2"/>
      <c r="Q51" s="2"/>
    </row>
    <row r="52" spans="1:17" x14ac:dyDescent="0.35">
      <c r="A52" s="43" t="s">
        <v>36</v>
      </c>
      <c r="B52" s="44"/>
      <c r="C52" s="44"/>
      <c r="D52" s="44"/>
      <c r="E52" s="41">
        <f>SUM(F16:F51)</f>
        <v>9</v>
      </c>
      <c r="F52" s="42"/>
      <c r="G52" s="41">
        <f>SUMPRODUCT(G16:G51,H16:H51)</f>
        <v>35</v>
      </c>
      <c r="H52" s="42"/>
      <c r="I52" s="41">
        <f>SUMPRODUCT(I16:I51,J16:J51)</f>
        <v>20</v>
      </c>
      <c r="J52" s="42"/>
      <c r="K52" s="41">
        <f>SUMPRODUCT(K16:K51,L16:L51)</f>
        <v>13</v>
      </c>
      <c r="L52" s="42"/>
      <c r="M52" s="2"/>
      <c r="N52" s="2"/>
      <c r="O52" s="2"/>
      <c r="P52" s="2"/>
      <c r="Q52" s="2"/>
    </row>
    <row r="53" spans="1:17" x14ac:dyDescent="0.35">
      <c r="A53" s="4"/>
      <c r="B53" s="6"/>
      <c r="C53" s="7"/>
      <c r="D53" s="2"/>
      <c r="E53" s="8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x14ac:dyDescent="0.35">
      <c r="A54" s="4"/>
      <c r="B54" s="6"/>
      <c r="C54" s="7"/>
      <c r="D54" s="2"/>
      <c r="E54" s="8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</sheetData>
  <mergeCells count="6">
    <mergeCell ref="K52:L52"/>
    <mergeCell ref="A15:D15"/>
    <mergeCell ref="A52:D52"/>
    <mergeCell ref="E52:F52"/>
    <mergeCell ref="G52:H52"/>
    <mergeCell ref="I52:J52"/>
  </mergeCells>
  <printOptions horizontalCentered="1"/>
  <pageMargins left="0.25" right="0.25" top="0.35" bottom="0.37" header="0.3" footer="0.3"/>
  <pageSetup paperSize="9" scale="90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CD6E2-0220-414F-ABE2-0D665CDD5D15}">
  <dimension ref="A1:M96"/>
  <sheetViews>
    <sheetView workbookViewId="0">
      <pane xSplit="11" ySplit="13" topLeftCell="L88" activePane="bottomRight" state="frozen"/>
      <selection pane="topRight" activeCell="G1" sqref="G1"/>
      <selection pane="bottomLeft" activeCell="A14" sqref="A14"/>
      <selection pane="bottomRight" activeCell="C97" sqref="C97"/>
    </sheetView>
  </sheetViews>
  <sheetFormatPr defaultRowHeight="14" x14ac:dyDescent="0.3"/>
  <cols>
    <col min="1" max="1" width="13.54296875" style="27" bestFit="1" customWidth="1"/>
    <col min="2" max="2" width="25.1796875" style="27" customWidth="1"/>
    <col min="3" max="3" width="20" style="27" bestFit="1" customWidth="1"/>
    <col min="4" max="4" width="23.453125" style="27" customWidth="1"/>
    <col min="5" max="5" width="10.90625" style="45" customWidth="1"/>
    <col min="6" max="6" width="9.08984375" style="45" bestFit="1" customWidth="1"/>
    <col min="7" max="7" width="13.08984375" style="45" bestFit="1" customWidth="1"/>
    <col min="8" max="8" width="12.81640625" style="27" customWidth="1"/>
    <col min="9" max="10" width="6.6328125" style="27" customWidth="1"/>
    <col min="11" max="12" width="8.7265625" style="27"/>
    <col min="13" max="13" width="13.453125" style="27" bestFit="1" customWidth="1"/>
    <col min="14" max="16384" width="8.7265625" style="27"/>
  </cols>
  <sheetData>
    <row r="1" spans="1:13" ht="18.5" thickBot="1" x14ac:dyDescent="0.45">
      <c r="A1" s="25" t="s">
        <v>163</v>
      </c>
      <c r="B1" s="26" t="s">
        <v>2</v>
      </c>
      <c r="C1" s="37" t="s">
        <v>264</v>
      </c>
      <c r="D1" s="40" t="s">
        <v>253</v>
      </c>
      <c r="E1" s="45" t="s">
        <v>251</v>
      </c>
      <c r="F1" s="45" t="s">
        <v>252</v>
      </c>
      <c r="G1" s="45" t="s">
        <v>260</v>
      </c>
      <c r="H1" s="36" t="s">
        <v>254</v>
      </c>
      <c r="I1" s="36" t="s">
        <v>250</v>
      </c>
      <c r="J1" s="36" t="s">
        <v>1</v>
      </c>
      <c r="K1" s="36" t="s">
        <v>249</v>
      </c>
      <c r="L1" s="36" t="s">
        <v>1</v>
      </c>
      <c r="M1" s="36" t="s">
        <v>7</v>
      </c>
    </row>
    <row r="2" spans="1:13" x14ac:dyDescent="0.3">
      <c r="A2" s="28" t="s">
        <v>164</v>
      </c>
      <c r="B2" s="29" t="s">
        <v>130</v>
      </c>
      <c r="C2" s="38">
        <v>0</v>
      </c>
      <c r="D2" s="38">
        <v>5</v>
      </c>
      <c r="E2" s="46">
        <v>20000</v>
      </c>
      <c r="F2" s="46">
        <f>7000*D2</f>
        <v>35000</v>
      </c>
      <c r="G2" s="46">
        <f>D2*E2+F2</f>
        <v>135000</v>
      </c>
      <c r="H2" s="47">
        <v>45820</v>
      </c>
      <c r="I2" s="30"/>
      <c r="J2" s="30"/>
      <c r="K2" s="30"/>
      <c r="L2" s="30"/>
    </row>
    <row r="3" spans="1:13" x14ac:dyDescent="0.3">
      <c r="A3" s="30" t="s">
        <v>165</v>
      </c>
      <c r="B3" s="31" t="s">
        <v>131</v>
      </c>
      <c r="C3" s="39">
        <v>2</v>
      </c>
      <c r="D3" s="39"/>
      <c r="E3" s="46"/>
      <c r="F3" s="46"/>
      <c r="G3" s="46">
        <f t="shared" ref="G3:G69" si="0">D3*E3+F3</f>
        <v>0</v>
      </c>
      <c r="H3" s="30"/>
      <c r="I3" s="30"/>
      <c r="J3" s="30"/>
      <c r="K3" s="30"/>
      <c r="L3" s="30"/>
      <c r="M3" s="30"/>
    </row>
    <row r="4" spans="1:13" x14ac:dyDescent="0.3">
      <c r="A4" s="30" t="s">
        <v>166</v>
      </c>
      <c r="B4" s="31" t="s">
        <v>132</v>
      </c>
      <c r="C4" s="39">
        <v>14</v>
      </c>
      <c r="D4" s="39"/>
      <c r="E4" s="46"/>
      <c r="F4" s="46"/>
      <c r="G4" s="46">
        <f t="shared" si="0"/>
        <v>0</v>
      </c>
      <c r="H4" s="30"/>
      <c r="I4" s="30"/>
      <c r="J4" s="30"/>
      <c r="K4" s="30"/>
      <c r="L4" s="30"/>
      <c r="M4" s="30"/>
    </row>
    <row r="5" spans="1:13" x14ac:dyDescent="0.3">
      <c r="A5" s="30" t="s">
        <v>167</v>
      </c>
      <c r="B5" s="31" t="s">
        <v>136</v>
      </c>
      <c r="C5" s="39">
        <v>1</v>
      </c>
      <c r="D5" s="39"/>
      <c r="E5" s="46"/>
      <c r="F5" s="46"/>
      <c r="G5" s="46">
        <f t="shared" si="0"/>
        <v>0</v>
      </c>
      <c r="H5" s="30"/>
      <c r="I5" s="30"/>
      <c r="J5" s="30"/>
      <c r="K5" s="30"/>
      <c r="L5" s="30"/>
      <c r="M5" s="30"/>
    </row>
    <row r="6" spans="1:13" x14ac:dyDescent="0.3">
      <c r="A6" s="30" t="s">
        <v>168</v>
      </c>
      <c r="B6" s="31" t="s">
        <v>86</v>
      </c>
      <c r="C6" s="39"/>
      <c r="D6" s="39"/>
      <c r="E6" s="46"/>
      <c r="F6" s="46"/>
      <c r="G6" s="46">
        <f t="shared" si="0"/>
        <v>0</v>
      </c>
      <c r="H6" s="30"/>
      <c r="I6" s="30"/>
      <c r="J6" s="30"/>
      <c r="K6" s="30"/>
      <c r="L6" s="30"/>
      <c r="M6" s="30"/>
    </row>
    <row r="7" spans="1:13" x14ac:dyDescent="0.3">
      <c r="A7" s="30" t="s">
        <v>169</v>
      </c>
      <c r="B7" s="31" t="s">
        <v>92</v>
      </c>
      <c r="C7" s="39"/>
      <c r="D7" s="39"/>
      <c r="E7" s="46"/>
      <c r="F7" s="46"/>
      <c r="G7" s="46">
        <f t="shared" si="0"/>
        <v>0</v>
      </c>
      <c r="H7" s="30"/>
      <c r="I7" s="30"/>
      <c r="J7" s="30"/>
      <c r="K7" s="30"/>
      <c r="L7" s="30"/>
      <c r="M7" s="30"/>
    </row>
    <row r="8" spans="1:13" x14ac:dyDescent="0.3">
      <c r="A8" s="30" t="s">
        <v>170</v>
      </c>
      <c r="B8" s="31" t="s">
        <v>94</v>
      </c>
      <c r="C8" s="39"/>
      <c r="D8" s="39"/>
      <c r="E8" s="46"/>
      <c r="F8" s="46"/>
      <c r="G8" s="46">
        <f t="shared" si="0"/>
        <v>0</v>
      </c>
      <c r="H8" s="30"/>
      <c r="I8" s="30"/>
      <c r="J8" s="30"/>
      <c r="K8" s="30"/>
      <c r="L8" s="30"/>
      <c r="M8" s="30"/>
    </row>
    <row r="9" spans="1:13" x14ac:dyDescent="0.3">
      <c r="A9" s="30" t="s">
        <v>171</v>
      </c>
      <c r="B9" s="35" t="s">
        <v>98</v>
      </c>
      <c r="C9" s="39">
        <v>24</v>
      </c>
      <c r="D9" s="39"/>
      <c r="E9" s="46"/>
      <c r="F9" s="46"/>
      <c r="G9" s="46">
        <f t="shared" si="0"/>
        <v>0</v>
      </c>
      <c r="H9" s="30"/>
      <c r="I9" s="30"/>
      <c r="J9" s="30"/>
      <c r="K9" s="30"/>
      <c r="L9" s="30"/>
      <c r="M9" s="30"/>
    </row>
    <row r="10" spans="1:13" x14ac:dyDescent="0.3">
      <c r="A10" s="30" t="s">
        <v>172</v>
      </c>
      <c r="B10" s="31" t="s">
        <v>99</v>
      </c>
      <c r="C10" s="39"/>
      <c r="D10" s="39"/>
      <c r="E10" s="46"/>
      <c r="F10" s="46"/>
      <c r="G10" s="46">
        <f t="shared" si="0"/>
        <v>0</v>
      </c>
      <c r="H10" s="30"/>
      <c r="I10" s="30"/>
      <c r="J10" s="30"/>
      <c r="K10" s="30"/>
      <c r="L10" s="30"/>
      <c r="M10" s="30"/>
    </row>
    <row r="11" spans="1:13" x14ac:dyDescent="0.3">
      <c r="A11" s="30" t="s">
        <v>174</v>
      </c>
      <c r="B11" s="31" t="s">
        <v>161</v>
      </c>
      <c r="C11" s="39"/>
      <c r="D11" s="39"/>
      <c r="E11" s="46"/>
      <c r="F11" s="46"/>
      <c r="G11" s="46">
        <f t="shared" si="0"/>
        <v>0</v>
      </c>
      <c r="H11" s="30"/>
      <c r="I11" s="30"/>
      <c r="J11" s="30"/>
      <c r="K11" s="30"/>
      <c r="L11" s="30"/>
      <c r="M11" s="30"/>
    </row>
    <row r="12" spans="1:13" x14ac:dyDescent="0.3">
      <c r="A12" s="30" t="s">
        <v>175</v>
      </c>
      <c r="B12" s="31" t="s">
        <v>120</v>
      </c>
      <c r="C12" s="39">
        <v>21</v>
      </c>
      <c r="D12" s="39"/>
      <c r="E12" s="46"/>
      <c r="F12" s="46"/>
      <c r="G12" s="46">
        <f t="shared" si="0"/>
        <v>0</v>
      </c>
      <c r="H12" s="30"/>
      <c r="I12" s="30"/>
      <c r="J12" s="30"/>
      <c r="K12" s="30"/>
      <c r="L12" s="30"/>
      <c r="M12" s="30"/>
    </row>
    <row r="13" spans="1:13" x14ac:dyDescent="0.3">
      <c r="A13" s="30" t="s">
        <v>173</v>
      </c>
      <c r="B13" s="31" t="s">
        <v>102</v>
      </c>
      <c r="C13" s="39"/>
      <c r="D13" s="39"/>
      <c r="E13" s="46"/>
      <c r="F13" s="46"/>
      <c r="G13" s="46">
        <f t="shared" si="0"/>
        <v>0</v>
      </c>
      <c r="H13" s="30"/>
      <c r="I13" s="30"/>
      <c r="J13" s="30"/>
      <c r="K13" s="30"/>
      <c r="L13" s="30"/>
      <c r="M13" s="30"/>
    </row>
    <row r="14" spans="1:13" x14ac:dyDescent="0.3">
      <c r="A14" s="30" t="s">
        <v>176</v>
      </c>
      <c r="B14" s="31" t="s">
        <v>159</v>
      </c>
      <c r="C14" s="39">
        <v>4</v>
      </c>
      <c r="D14" s="39"/>
      <c r="E14" s="46"/>
      <c r="F14" s="46"/>
      <c r="G14" s="46">
        <f t="shared" si="0"/>
        <v>0</v>
      </c>
      <c r="H14" s="30"/>
      <c r="I14" s="30"/>
      <c r="J14" s="30"/>
      <c r="K14" s="30"/>
      <c r="L14" s="30"/>
      <c r="M14" s="30"/>
    </row>
    <row r="15" spans="1:13" x14ac:dyDescent="0.3">
      <c r="A15" s="30" t="s">
        <v>177</v>
      </c>
      <c r="B15" s="31" t="s">
        <v>160</v>
      </c>
      <c r="C15" s="39">
        <v>9</v>
      </c>
      <c r="D15" s="39"/>
      <c r="E15" s="46"/>
      <c r="F15" s="46"/>
      <c r="G15" s="46">
        <f t="shared" si="0"/>
        <v>0</v>
      </c>
      <c r="H15" s="30"/>
      <c r="I15" s="30"/>
      <c r="J15" s="30"/>
      <c r="K15" s="30"/>
      <c r="L15" s="30"/>
      <c r="M15" s="30"/>
    </row>
    <row r="16" spans="1:13" x14ac:dyDescent="0.3">
      <c r="A16" s="30" t="s">
        <v>178</v>
      </c>
      <c r="B16" s="31" t="s">
        <v>113</v>
      </c>
      <c r="C16" s="39"/>
      <c r="D16" s="39"/>
      <c r="E16" s="46"/>
      <c r="F16" s="46"/>
      <c r="G16" s="46">
        <f t="shared" si="0"/>
        <v>0</v>
      </c>
      <c r="H16" s="30"/>
      <c r="I16" s="30"/>
      <c r="J16" s="30"/>
      <c r="K16" s="30"/>
      <c r="L16" s="30"/>
      <c r="M16" s="30"/>
    </row>
    <row r="17" spans="1:13" x14ac:dyDescent="0.3">
      <c r="A17" s="30" t="s">
        <v>179</v>
      </c>
      <c r="B17" s="32" t="s">
        <v>117</v>
      </c>
      <c r="C17" s="39"/>
      <c r="D17" s="39"/>
      <c r="E17" s="46"/>
      <c r="F17" s="46"/>
      <c r="G17" s="46">
        <f t="shared" si="0"/>
        <v>0</v>
      </c>
      <c r="H17" s="30"/>
      <c r="I17" s="30"/>
      <c r="J17" s="30"/>
      <c r="K17" s="30"/>
      <c r="L17" s="30"/>
      <c r="M17" s="30"/>
    </row>
    <row r="18" spans="1:13" x14ac:dyDescent="0.3">
      <c r="A18" s="30" t="s">
        <v>180</v>
      </c>
      <c r="B18" s="31" t="s">
        <v>118</v>
      </c>
      <c r="C18" s="39"/>
      <c r="D18" s="39"/>
      <c r="E18" s="46"/>
      <c r="F18" s="46"/>
      <c r="G18" s="46">
        <f t="shared" si="0"/>
        <v>0</v>
      </c>
      <c r="H18" s="30"/>
      <c r="I18" s="30"/>
      <c r="J18" s="30"/>
      <c r="K18" s="30"/>
      <c r="L18" s="30"/>
      <c r="M18" s="30"/>
    </row>
    <row r="19" spans="1:13" x14ac:dyDescent="0.3">
      <c r="A19" s="30" t="s">
        <v>181</v>
      </c>
      <c r="B19" s="31" t="s">
        <v>135</v>
      </c>
      <c r="C19" s="39"/>
      <c r="D19" s="39"/>
      <c r="E19" s="46"/>
      <c r="F19" s="46"/>
      <c r="G19" s="46">
        <f t="shared" si="0"/>
        <v>0</v>
      </c>
      <c r="H19" s="30"/>
      <c r="I19" s="30"/>
      <c r="J19" s="30"/>
      <c r="K19" s="30"/>
      <c r="L19" s="30"/>
      <c r="M19" s="30"/>
    </row>
    <row r="20" spans="1:13" x14ac:dyDescent="0.3">
      <c r="A20" s="30" t="s">
        <v>271</v>
      </c>
      <c r="B20" s="31" t="s">
        <v>270</v>
      </c>
      <c r="C20" s="39">
        <v>5</v>
      </c>
      <c r="D20" s="39"/>
      <c r="E20" s="46"/>
      <c r="F20" s="46"/>
      <c r="G20" s="46"/>
      <c r="H20" s="30"/>
      <c r="I20" s="30"/>
      <c r="J20" s="30"/>
      <c r="K20" s="30"/>
      <c r="L20" s="30"/>
      <c r="M20" s="30"/>
    </row>
    <row r="21" spans="1:13" x14ac:dyDescent="0.3">
      <c r="A21" s="30" t="s">
        <v>182</v>
      </c>
      <c r="B21" s="31" t="s">
        <v>146</v>
      </c>
      <c r="C21" s="39"/>
      <c r="D21" s="39"/>
      <c r="E21" s="46"/>
      <c r="F21" s="46"/>
      <c r="G21" s="46">
        <f t="shared" si="0"/>
        <v>0</v>
      </c>
      <c r="H21" s="30"/>
      <c r="I21" s="30"/>
      <c r="J21" s="30"/>
      <c r="K21" s="30"/>
      <c r="L21" s="30"/>
      <c r="M21" s="30"/>
    </row>
    <row r="22" spans="1:13" x14ac:dyDescent="0.3">
      <c r="A22" s="30" t="s">
        <v>183</v>
      </c>
      <c r="B22" s="31" t="s">
        <v>147</v>
      </c>
      <c r="C22" s="39"/>
      <c r="D22" s="39"/>
      <c r="E22" s="46"/>
      <c r="F22" s="46"/>
      <c r="G22" s="46">
        <f t="shared" si="0"/>
        <v>0</v>
      </c>
      <c r="H22" s="30"/>
      <c r="I22" s="30"/>
      <c r="J22" s="30"/>
      <c r="K22" s="30"/>
      <c r="L22" s="30"/>
      <c r="M22" s="30"/>
    </row>
    <row r="23" spans="1:13" x14ac:dyDescent="0.3">
      <c r="A23" s="30" t="s">
        <v>184</v>
      </c>
      <c r="B23" s="31" t="s">
        <v>148</v>
      </c>
      <c r="C23" s="39"/>
      <c r="D23" s="39"/>
      <c r="E23" s="46"/>
      <c r="F23" s="46"/>
      <c r="G23" s="46">
        <f t="shared" si="0"/>
        <v>0</v>
      </c>
      <c r="H23" s="30"/>
      <c r="I23" s="30"/>
      <c r="J23" s="30"/>
      <c r="K23" s="30"/>
      <c r="L23" s="30"/>
      <c r="M23" s="30"/>
    </row>
    <row r="24" spans="1:13" x14ac:dyDescent="0.3">
      <c r="A24" s="30" t="s">
        <v>185</v>
      </c>
      <c r="B24" s="31" t="s">
        <v>149</v>
      </c>
      <c r="C24" s="39"/>
      <c r="D24" s="39"/>
      <c r="E24" s="46"/>
      <c r="F24" s="46"/>
      <c r="G24" s="46">
        <f t="shared" si="0"/>
        <v>0</v>
      </c>
      <c r="H24" s="30"/>
      <c r="I24" s="30"/>
      <c r="J24" s="30"/>
      <c r="K24" s="30"/>
      <c r="L24" s="30"/>
      <c r="M24" s="30"/>
    </row>
    <row r="25" spans="1:13" x14ac:dyDescent="0.3">
      <c r="A25" s="30" t="s">
        <v>186</v>
      </c>
      <c r="B25" s="31" t="s">
        <v>150</v>
      </c>
      <c r="C25" s="39"/>
      <c r="D25" s="39"/>
      <c r="E25" s="46"/>
      <c r="F25" s="46"/>
      <c r="G25" s="46">
        <f t="shared" si="0"/>
        <v>0</v>
      </c>
      <c r="H25" s="30"/>
      <c r="I25" s="30"/>
      <c r="J25" s="30"/>
      <c r="K25" s="30"/>
      <c r="L25" s="30"/>
      <c r="M25" s="30"/>
    </row>
    <row r="26" spans="1:13" x14ac:dyDescent="0.3">
      <c r="A26" s="30" t="s">
        <v>187</v>
      </c>
      <c r="B26" s="31" t="s">
        <v>151</v>
      </c>
      <c r="C26" s="39">
        <v>1</v>
      </c>
      <c r="D26" s="39">
        <v>5</v>
      </c>
      <c r="E26" s="46">
        <v>50000</v>
      </c>
      <c r="F26" s="46">
        <f>7000*D26</f>
        <v>35000</v>
      </c>
      <c r="G26" s="46">
        <f t="shared" si="0"/>
        <v>285000</v>
      </c>
      <c r="H26" s="47">
        <v>45820</v>
      </c>
      <c r="I26" s="30"/>
      <c r="J26" s="30"/>
      <c r="K26" s="30"/>
      <c r="L26" s="30"/>
      <c r="M26" s="30" t="s">
        <v>259</v>
      </c>
    </row>
    <row r="27" spans="1:13" x14ac:dyDescent="0.3">
      <c r="A27" s="30" t="s">
        <v>188</v>
      </c>
      <c r="B27" s="31" t="s">
        <v>152</v>
      </c>
      <c r="C27" s="39"/>
      <c r="D27" s="39"/>
      <c r="E27" s="46"/>
      <c r="F27" s="46"/>
      <c r="G27" s="46">
        <f t="shared" si="0"/>
        <v>0</v>
      </c>
      <c r="H27" s="30"/>
      <c r="I27" s="30"/>
      <c r="J27" s="30"/>
      <c r="K27" s="30"/>
      <c r="L27" s="30"/>
      <c r="M27" s="30"/>
    </row>
    <row r="28" spans="1:13" x14ac:dyDescent="0.3">
      <c r="A28" s="30" t="s">
        <v>189</v>
      </c>
      <c r="B28" s="35" t="s">
        <v>87</v>
      </c>
      <c r="C28" s="39">
        <v>6</v>
      </c>
      <c r="D28" s="39"/>
      <c r="E28" s="46"/>
      <c r="F28" s="46"/>
      <c r="G28" s="46">
        <f t="shared" si="0"/>
        <v>0</v>
      </c>
      <c r="H28" s="30"/>
      <c r="I28" s="30"/>
      <c r="J28" s="30"/>
      <c r="K28" s="30"/>
      <c r="L28" s="30"/>
      <c r="M28" s="30"/>
    </row>
    <row r="29" spans="1:13" x14ac:dyDescent="0.3">
      <c r="A29" s="30" t="s">
        <v>190</v>
      </c>
      <c r="B29" s="31" t="s">
        <v>88</v>
      </c>
      <c r="C29" s="39"/>
      <c r="D29" s="39"/>
      <c r="E29" s="46"/>
      <c r="F29" s="46"/>
      <c r="G29" s="46">
        <f t="shared" si="0"/>
        <v>0</v>
      </c>
      <c r="H29" s="30"/>
      <c r="I29" s="30"/>
      <c r="J29" s="30"/>
      <c r="K29" s="30"/>
      <c r="L29" s="30"/>
      <c r="M29" s="30"/>
    </row>
    <row r="30" spans="1:13" x14ac:dyDescent="0.3">
      <c r="A30" s="30" t="s">
        <v>191</v>
      </c>
      <c r="B30" s="31" t="s">
        <v>154</v>
      </c>
      <c r="C30" s="39"/>
      <c r="D30" s="39"/>
      <c r="E30" s="46"/>
      <c r="F30" s="46"/>
      <c r="G30" s="46">
        <f t="shared" si="0"/>
        <v>0</v>
      </c>
      <c r="H30" s="30"/>
      <c r="I30" s="30"/>
      <c r="J30" s="30"/>
      <c r="K30" s="30"/>
      <c r="L30" s="30"/>
      <c r="M30" s="30"/>
    </row>
    <row r="31" spans="1:13" x14ac:dyDescent="0.3">
      <c r="A31" s="30" t="s">
        <v>192</v>
      </c>
      <c r="B31" s="31" t="s">
        <v>116</v>
      </c>
      <c r="C31" s="39"/>
      <c r="D31" s="39"/>
      <c r="E31" s="46"/>
      <c r="F31" s="46"/>
      <c r="G31" s="46">
        <f t="shared" si="0"/>
        <v>0</v>
      </c>
      <c r="H31" s="30"/>
      <c r="I31" s="30"/>
      <c r="J31" s="30"/>
      <c r="K31" s="30"/>
      <c r="L31" s="30"/>
      <c r="M31" s="30"/>
    </row>
    <row r="32" spans="1:13" x14ac:dyDescent="0.3">
      <c r="A32" s="30" t="s">
        <v>193</v>
      </c>
      <c r="B32" s="31" t="s">
        <v>157</v>
      </c>
      <c r="C32" s="39">
        <v>5</v>
      </c>
      <c r="D32" s="39"/>
      <c r="E32" s="46"/>
      <c r="F32" s="46"/>
      <c r="G32" s="46">
        <f t="shared" si="0"/>
        <v>0</v>
      </c>
      <c r="H32" s="30"/>
      <c r="I32" s="30"/>
      <c r="J32" s="30"/>
      <c r="K32" s="30"/>
      <c r="L32" s="30"/>
      <c r="M32" s="30"/>
    </row>
    <row r="33" spans="1:13" x14ac:dyDescent="0.3">
      <c r="A33" s="30" t="s">
        <v>195</v>
      </c>
      <c r="B33" s="31" t="s">
        <v>96</v>
      </c>
      <c r="C33" s="39"/>
      <c r="D33" s="39"/>
      <c r="E33" s="46"/>
      <c r="F33" s="46"/>
      <c r="G33" s="46">
        <f t="shared" si="0"/>
        <v>0</v>
      </c>
      <c r="H33" s="30"/>
      <c r="I33" s="30"/>
      <c r="J33" s="30"/>
      <c r="K33" s="30"/>
      <c r="L33" s="30"/>
      <c r="M33" s="30"/>
    </row>
    <row r="34" spans="1:13" x14ac:dyDescent="0.3">
      <c r="A34" s="30" t="s">
        <v>196</v>
      </c>
      <c r="B34" s="31" t="s">
        <v>194</v>
      </c>
      <c r="C34" s="39"/>
      <c r="D34" s="39">
        <v>5</v>
      </c>
      <c r="E34" s="46">
        <v>21000</v>
      </c>
      <c r="F34" s="46">
        <f>7000*D34</f>
        <v>35000</v>
      </c>
      <c r="G34" s="46">
        <f t="shared" si="0"/>
        <v>140000</v>
      </c>
      <c r="H34" s="47">
        <v>45820</v>
      </c>
      <c r="I34" s="30"/>
      <c r="J34" s="30"/>
      <c r="K34" s="30"/>
      <c r="L34" s="30"/>
      <c r="M34" s="30" t="s">
        <v>259</v>
      </c>
    </row>
    <row r="35" spans="1:13" x14ac:dyDescent="0.3">
      <c r="A35" s="30" t="s">
        <v>197</v>
      </c>
      <c r="B35" s="31" t="s">
        <v>144</v>
      </c>
      <c r="C35" s="39"/>
      <c r="D35" s="39"/>
      <c r="E35" s="46"/>
      <c r="F35" s="46"/>
      <c r="G35" s="46">
        <f t="shared" si="0"/>
        <v>0</v>
      </c>
      <c r="H35" s="30"/>
      <c r="I35" s="30"/>
      <c r="J35" s="30"/>
      <c r="K35" s="30"/>
      <c r="L35" s="30"/>
      <c r="M35" s="30"/>
    </row>
    <row r="36" spans="1:13" x14ac:dyDescent="0.3">
      <c r="A36" s="30" t="s">
        <v>71</v>
      </c>
      <c r="B36" s="31" t="s">
        <v>103</v>
      </c>
      <c r="C36" s="39"/>
      <c r="D36" s="39"/>
      <c r="E36" s="46"/>
      <c r="F36" s="46"/>
      <c r="G36" s="46">
        <f t="shared" si="0"/>
        <v>0</v>
      </c>
      <c r="H36" s="30"/>
      <c r="I36" s="30"/>
      <c r="J36" s="30"/>
      <c r="K36" s="30"/>
      <c r="L36" s="30"/>
      <c r="M36" s="30"/>
    </row>
    <row r="37" spans="1:13" x14ac:dyDescent="0.3">
      <c r="A37" s="30" t="s">
        <v>257</v>
      </c>
      <c r="B37" s="31" t="s">
        <v>255</v>
      </c>
      <c r="C37" s="39">
        <v>69</v>
      </c>
      <c r="D37" s="39"/>
      <c r="E37" s="46"/>
      <c r="F37" s="46"/>
      <c r="G37" s="46"/>
      <c r="H37" s="30"/>
      <c r="I37" s="30"/>
      <c r="J37" s="30"/>
      <c r="K37" s="30"/>
      <c r="L37" s="30"/>
      <c r="M37" s="30"/>
    </row>
    <row r="38" spans="1:13" x14ac:dyDescent="0.3">
      <c r="A38" s="30" t="s">
        <v>258</v>
      </c>
      <c r="B38" s="31" t="s">
        <v>269</v>
      </c>
      <c r="C38" s="39">
        <v>1</v>
      </c>
      <c r="D38" s="39"/>
      <c r="E38" s="46"/>
      <c r="F38" s="46"/>
      <c r="G38" s="46">
        <f t="shared" si="0"/>
        <v>0</v>
      </c>
      <c r="H38" s="30"/>
      <c r="I38" s="30"/>
      <c r="J38" s="30"/>
      <c r="K38" s="30"/>
      <c r="L38" s="30"/>
      <c r="M38" s="30"/>
    </row>
    <row r="39" spans="1:13" x14ac:dyDescent="0.3">
      <c r="A39" s="30" t="s">
        <v>272</v>
      </c>
      <c r="B39" s="31" t="s">
        <v>256</v>
      </c>
      <c r="C39" s="39">
        <v>8</v>
      </c>
      <c r="D39" s="39">
        <v>10</v>
      </c>
      <c r="E39" s="46">
        <v>50000</v>
      </c>
      <c r="F39" s="46">
        <f>7000*D39</f>
        <v>70000</v>
      </c>
      <c r="G39" s="46">
        <f t="shared" si="0"/>
        <v>570000</v>
      </c>
      <c r="H39" s="47">
        <v>45820</v>
      </c>
      <c r="I39" s="30"/>
      <c r="J39" s="30"/>
      <c r="K39" s="30"/>
      <c r="L39" s="30"/>
      <c r="M39" s="30" t="s">
        <v>259</v>
      </c>
    </row>
    <row r="40" spans="1:13" x14ac:dyDescent="0.3">
      <c r="A40" s="30" t="s">
        <v>198</v>
      </c>
      <c r="B40" s="31" t="s">
        <v>93</v>
      </c>
      <c r="C40" s="39"/>
      <c r="D40" s="39"/>
      <c r="E40" s="46"/>
      <c r="F40" s="46"/>
      <c r="G40" s="46">
        <f t="shared" si="0"/>
        <v>0</v>
      </c>
      <c r="H40" s="30"/>
      <c r="I40" s="30"/>
      <c r="J40" s="30"/>
      <c r="K40" s="30"/>
      <c r="L40" s="30"/>
      <c r="M40" s="30"/>
    </row>
    <row r="41" spans="1:13" x14ac:dyDescent="0.3">
      <c r="A41" s="30" t="s">
        <v>199</v>
      </c>
      <c r="B41" s="33" t="s">
        <v>81</v>
      </c>
      <c r="C41" s="39">
        <v>6</v>
      </c>
      <c r="D41" s="39"/>
      <c r="E41" s="46"/>
      <c r="F41" s="46"/>
      <c r="G41" s="46">
        <f t="shared" si="0"/>
        <v>0</v>
      </c>
      <c r="H41" s="30"/>
      <c r="I41" s="30"/>
      <c r="J41" s="30"/>
      <c r="K41" s="30"/>
      <c r="L41" s="30"/>
      <c r="M41" s="30"/>
    </row>
    <row r="42" spans="1:13" x14ac:dyDescent="0.3">
      <c r="A42" s="30" t="s">
        <v>200</v>
      </c>
      <c r="B42" s="31" t="s">
        <v>83</v>
      </c>
      <c r="C42" s="39"/>
      <c r="D42" s="39"/>
      <c r="E42" s="46"/>
      <c r="F42" s="46"/>
      <c r="G42" s="46">
        <f t="shared" si="0"/>
        <v>0</v>
      </c>
      <c r="H42" s="30"/>
      <c r="I42" s="30"/>
      <c r="J42" s="30"/>
      <c r="K42" s="30"/>
      <c r="L42" s="30"/>
      <c r="M42" s="30"/>
    </row>
    <row r="43" spans="1:13" x14ac:dyDescent="0.3">
      <c r="A43" s="30" t="s">
        <v>201</v>
      </c>
      <c r="B43" s="31" t="s">
        <v>85</v>
      </c>
      <c r="C43" s="39"/>
      <c r="D43" s="39"/>
      <c r="E43" s="46"/>
      <c r="F43" s="46"/>
      <c r="G43" s="46">
        <f t="shared" si="0"/>
        <v>0</v>
      </c>
      <c r="H43" s="30"/>
      <c r="I43" s="30"/>
      <c r="J43" s="30"/>
      <c r="K43" s="30"/>
      <c r="L43" s="30"/>
      <c r="M43" s="30"/>
    </row>
    <row r="44" spans="1:13" x14ac:dyDescent="0.3">
      <c r="A44" s="30" t="s">
        <v>202</v>
      </c>
      <c r="B44" s="31" t="s">
        <v>121</v>
      </c>
      <c r="C44" s="39"/>
      <c r="D44" s="39"/>
      <c r="E44" s="46"/>
      <c r="F44" s="46"/>
      <c r="G44" s="46">
        <f t="shared" si="0"/>
        <v>0</v>
      </c>
      <c r="H44" s="30"/>
      <c r="I44" s="30"/>
      <c r="J44" s="30"/>
      <c r="K44" s="30"/>
      <c r="L44" s="30"/>
      <c r="M44" s="30"/>
    </row>
    <row r="45" spans="1:13" x14ac:dyDescent="0.3">
      <c r="A45" s="30" t="s">
        <v>203</v>
      </c>
      <c r="B45" s="31" t="s">
        <v>122</v>
      </c>
      <c r="C45" s="39"/>
      <c r="D45" s="39"/>
      <c r="E45" s="46"/>
      <c r="F45" s="46"/>
      <c r="G45" s="46">
        <f t="shared" si="0"/>
        <v>0</v>
      </c>
      <c r="H45" s="30"/>
      <c r="I45" s="30"/>
      <c r="J45" s="30"/>
      <c r="K45" s="30"/>
      <c r="L45" s="30"/>
      <c r="M45" s="30"/>
    </row>
    <row r="46" spans="1:13" x14ac:dyDescent="0.3">
      <c r="A46" s="30" t="s">
        <v>204</v>
      </c>
      <c r="B46" s="31" t="s">
        <v>123</v>
      </c>
      <c r="C46" s="39"/>
      <c r="D46" s="39"/>
      <c r="E46" s="46"/>
      <c r="F46" s="46"/>
      <c r="G46" s="46">
        <f t="shared" si="0"/>
        <v>0</v>
      </c>
      <c r="H46" s="30"/>
      <c r="I46" s="30"/>
      <c r="J46" s="30"/>
      <c r="K46" s="30"/>
      <c r="L46" s="30"/>
      <c r="M46" s="30"/>
    </row>
    <row r="47" spans="1:13" x14ac:dyDescent="0.3">
      <c r="A47" s="30" t="s">
        <v>205</v>
      </c>
      <c r="B47" s="31" t="s">
        <v>124</v>
      </c>
      <c r="C47" s="39"/>
      <c r="D47" s="39"/>
      <c r="E47" s="46"/>
      <c r="F47" s="46"/>
      <c r="G47" s="46">
        <f t="shared" si="0"/>
        <v>0</v>
      </c>
      <c r="H47" s="30"/>
      <c r="I47" s="30"/>
      <c r="J47" s="30"/>
      <c r="K47" s="30"/>
      <c r="L47" s="30"/>
      <c r="M47" s="30"/>
    </row>
    <row r="48" spans="1:13" x14ac:dyDescent="0.3">
      <c r="A48" s="30" t="s">
        <v>206</v>
      </c>
      <c r="B48" s="31" t="s">
        <v>142</v>
      </c>
      <c r="C48" s="39"/>
      <c r="D48" s="39"/>
      <c r="E48" s="46"/>
      <c r="F48" s="46"/>
      <c r="G48" s="46">
        <f t="shared" si="0"/>
        <v>0</v>
      </c>
      <c r="H48" s="30"/>
      <c r="I48" s="30"/>
      <c r="J48" s="30"/>
      <c r="K48" s="30"/>
      <c r="L48" s="30"/>
      <c r="M48" s="30"/>
    </row>
    <row r="49" spans="1:13" x14ac:dyDescent="0.3">
      <c r="A49" s="30" t="s">
        <v>207</v>
      </c>
      <c r="B49" s="31" t="s">
        <v>145</v>
      </c>
      <c r="C49" s="39"/>
      <c r="D49" s="39"/>
      <c r="E49" s="46"/>
      <c r="F49" s="46"/>
      <c r="G49" s="46">
        <f t="shared" si="0"/>
        <v>0</v>
      </c>
      <c r="H49" s="30"/>
      <c r="I49" s="30"/>
      <c r="J49" s="30"/>
      <c r="K49" s="30"/>
      <c r="L49" s="30"/>
      <c r="M49" s="30"/>
    </row>
    <row r="50" spans="1:13" x14ac:dyDescent="0.3">
      <c r="A50" s="30" t="s">
        <v>208</v>
      </c>
      <c r="B50" s="31" t="s">
        <v>140</v>
      </c>
      <c r="C50" s="39"/>
      <c r="D50" s="39"/>
      <c r="E50" s="46"/>
      <c r="F50" s="46"/>
      <c r="G50" s="46">
        <f t="shared" si="0"/>
        <v>0</v>
      </c>
      <c r="H50" s="30"/>
      <c r="I50" s="30"/>
      <c r="J50" s="30"/>
      <c r="K50" s="30"/>
      <c r="L50" s="30"/>
      <c r="M50" s="30"/>
    </row>
    <row r="51" spans="1:13" x14ac:dyDescent="0.3">
      <c r="A51" s="48" t="s">
        <v>274</v>
      </c>
      <c r="B51" s="31" t="s">
        <v>137</v>
      </c>
      <c r="C51" s="39">
        <v>104</v>
      </c>
      <c r="D51" s="39"/>
      <c r="E51" s="46"/>
      <c r="F51" s="46"/>
      <c r="G51" s="46">
        <f t="shared" si="0"/>
        <v>0</v>
      </c>
      <c r="H51" s="30"/>
      <c r="I51" s="30"/>
      <c r="J51" s="30"/>
      <c r="K51" s="30"/>
      <c r="L51" s="30"/>
      <c r="M51" s="30"/>
    </row>
    <row r="52" spans="1:13" x14ac:dyDescent="0.3">
      <c r="A52" s="48" t="s">
        <v>275</v>
      </c>
      <c r="B52" s="31" t="s">
        <v>273</v>
      </c>
      <c r="C52" s="39">
        <v>5</v>
      </c>
      <c r="D52" s="39"/>
      <c r="E52" s="46"/>
      <c r="F52" s="46"/>
      <c r="G52" s="46"/>
      <c r="H52" s="30"/>
      <c r="I52" s="30"/>
      <c r="J52" s="30"/>
      <c r="K52" s="30"/>
      <c r="L52" s="30"/>
      <c r="M52" s="30"/>
    </row>
    <row r="53" spans="1:13" x14ac:dyDescent="0.3">
      <c r="A53" s="30" t="s">
        <v>209</v>
      </c>
      <c r="B53" s="34" t="s">
        <v>138</v>
      </c>
      <c r="C53" s="39">
        <v>2</v>
      </c>
      <c r="D53" s="39"/>
      <c r="E53" s="46"/>
      <c r="F53" s="46"/>
      <c r="G53" s="46">
        <f t="shared" si="0"/>
        <v>0</v>
      </c>
      <c r="H53" s="30"/>
      <c r="I53" s="30"/>
      <c r="J53" s="30"/>
      <c r="K53" s="30"/>
      <c r="L53" s="30"/>
      <c r="M53" s="30"/>
    </row>
    <row r="54" spans="1:13" x14ac:dyDescent="0.3">
      <c r="A54" s="30" t="s">
        <v>210</v>
      </c>
      <c r="B54" s="31" t="s">
        <v>114</v>
      </c>
      <c r="C54" s="39">
        <v>4</v>
      </c>
      <c r="D54" s="39"/>
      <c r="E54" s="46"/>
      <c r="F54" s="46"/>
      <c r="G54" s="46">
        <f t="shared" si="0"/>
        <v>0</v>
      </c>
      <c r="H54" s="30"/>
      <c r="I54" s="30"/>
      <c r="J54" s="30"/>
      <c r="K54" s="30"/>
      <c r="L54" s="30"/>
      <c r="M54" s="30"/>
    </row>
    <row r="55" spans="1:13" x14ac:dyDescent="0.3">
      <c r="A55" s="30" t="s">
        <v>212</v>
      </c>
      <c r="B55" s="31" t="s">
        <v>211</v>
      </c>
      <c r="C55" s="39"/>
      <c r="D55" s="39"/>
      <c r="E55" s="46"/>
      <c r="F55" s="46"/>
      <c r="G55" s="46">
        <f t="shared" si="0"/>
        <v>0</v>
      </c>
      <c r="H55" s="30"/>
      <c r="I55" s="30"/>
      <c r="J55" s="30"/>
      <c r="K55" s="30"/>
      <c r="L55" s="30"/>
      <c r="M55" s="30"/>
    </row>
    <row r="56" spans="1:13" x14ac:dyDescent="0.3">
      <c r="A56" s="30" t="s">
        <v>213</v>
      </c>
      <c r="B56" s="31" t="s">
        <v>84</v>
      </c>
      <c r="C56" s="39"/>
      <c r="D56" s="39"/>
      <c r="E56" s="46"/>
      <c r="F56" s="46"/>
      <c r="G56" s="46">
        <f t="shared" si="0"/>
        <v>0</v>
      </c>
      <c r="H56" s="30"/>
      <c r="I56" s="30"/>
      <c r="J56" s="30"/>
      <c r="K56" s="30"/>
      <c r="L56" s="30"/>
      <c r="M56" s="30"/>
    </row>
    <row r="57" spans="1:13" x14ac:dyDescent="0.3">
      <c r="A57" s="30" t="s">
        <v>214</v>
      </c>
      <c r="B57" s="31" t="s">
        <v>100</v>
      </c>
      <c r="C57" s="39"/>
      <c r="D57" s="39"/>
      <c r="E57" s="46"/>
      <c r="F57" s="46"/>
      <c r="G57" s="46">
        <f t="shared" si="0"/>
        <v>0</v>
      </c>
      <c r="H57" s="30"/>
      <c r="I57" s="30"/>
      <c r="J57" s="30"/>
      <c r="K57" s="30"/>
      <c r="L57" s="30"/>
      <c r="M57" s="30"/>
    </row>
    <row r="58" spans="1:13" x14ac:dyDescent="0.3">
      <c r="A58" s="30" t="s">
        <v>215</v>
      </c>
      <c r="B58" s="31" t="s">
        <v>101</v>
      </c>
      <c r="C58" s="39">
        <v>4</v>
      </c>
      <c r="D58" s="39"/>
      <c r="E58" s="46"/>
      <c r="F58" s="46"/>
      <c r="G58" s="46">
        <f t="shared" si="0"/>
        <v>0</v>
      </c>
      <c r="H58" s="30"/>
      <c r="I58" s="30"/>
      <c r="J58" s="30"/>
      <c r="K58" s="30"/>
      <c r="L58" s="30"/>
      <c r="M58" s="30"/>
    </row>
    <row r="59" spans="1:13" x14ac:dyDescent="0.3">
      <c r="A59" s="30" t="s">
        <v>216</v>
      </c>
      <c r="B59" s="34" t="s">
        <v>95</v>
      </c>
      <c r="C59" s="39"/>
      <c r="D59" s="39"/>
      <c r="E59" s="46"/>
      <c r="F59" s="46"/>
      <c r="G59" s="46">
        <f t="shared" si="0"/>
        <v>0</v>
      </c>
      <c r="H59" s="30"/>
      <c r="I59" s="30"/>
      <c r="J59" s="30"/>
      <c r="K59" s="30"/>
      <c r="L59" s="30"/>
      <c r="M59" s="30"/>
    </row>
    <row r="60" spans="1:13" x14ac:dyDescent="0.3">
      <c r="A60" s="30" t="s">
        <v>217</v>
      </c>
      <c r="B60" s="31" t="s">
        <v>97</v>
      </c>
      <c r="C60" s="39"/>
      <c r="D60" s="39"/>
      <c r="E60" s="46"/>
      <c r="F60" s="46"/>
      <c r="G60" s="46">
        <f t="shared" si="0"/>
        <v>0</v>
      </c>
      <c r="H60" s="30"/>
      <c r="I60" s="30"/>
      <c r="J60" s="30"/>
      <c r="K60" s="30"/>
      <c r="L60" s="30"/>
      <c r="M60" s="30"/>
    </row>
    <row r="61" spans="1:13" x14ac:dyDescent="0.3">
      <c r="A61" s="30" t="s">
        <v>218</v>
      </c>
      <c r="B61" s="31" t="s">
        <v>139</v>
      </c>
      <c r="C61" s="39"/>
      <c r="D61" s="39"/>
      <c r="E61" s="46"/>
      <c r="F61" s="46"/>
      <c r="G61" s="46">
        <f t="shared" si="0"/>
        <v>0</v>
      </c>
      <c r="H61" s="30"/>
      <c r="I61" s="30"/>
      <c r="J61" s="30"/>
      <c r="K61" s="30"/>
      <c r="L61" s="30"/>
      <c r="M61" s="30"/>
    </row>
    <row r="62" spans="1:13" x14ac:dyDescent="0.3">
      <c r="A62" s="30" t="s">
        <v>219</v>
      </c>
      <c r="B62" s="31" t="s">
        <v>156</v>
      </c>
      <c r="C62" s="39"/>
      <c r="D62" s="39"/>
      <c r="E62" s="46"/>
      <c r="F62" s="46"/>
      <c r="G62" s="46">
        <f t="shared" si="0"/>
        <v>0</v>
      </c>
      <c r="H62" s="30"/>
      <c r="I62" s="30"/>
      <c r="J62" s="30"/>
      <c r="K62" s="30"/>
      <c r="L62" s="30"/>
      <c r="M62" s="30"/>
    </row>
    <row r="63" spans="1:13" x14ac:dyDescent="0.3">
      <c r="A63" s="30" t="s">
        <v>220</v>
      </c>
      <c r="B63" s="31" t="s">
        <v>141</v>
      </c>
      <c r="C63" s="39"/>
      <c r="D63" s="39"/>
      <c r="E63" s="46"/>
      <c r="F63" s="46"/>
      <c r="G63" s="46">
        <f t="shared" si="0"/>
        <v>0</v>
      </c>
      <c r="H63" s="30"/>
      <c r="I63" s="30"/>
      <c r="J63" s="30"/>
      <c r="K63" s="30"/>
      <c r="L63" s="30"/>
      <c r="M63" s="30"/>
    </row>
    <row r="64" spans="1:13" x14ac:dyDescent="0.3">
      <c r="A64" s="30" t="s">
        <v>221</v>
      </c>
      <c r="B64" s="31" t="s">
        <v>107</v>
      </c>
      <c r="C64" s="39"/>
      <c r="D64" s="39"/>
      <c r="E64" s="46"/>
      <c r="F64" s="46"/>
      <c r="G64" s="46">
        <f t="shared" si="0"/>
        <v>0</v>
      </c>
      <c r="H64" s="30"/>
      <c r="I64" s="30"/>
      <c r="J64" s="30"/>
      <c r="K64" s="30"/>
      <c r="L64" s="30"/>
      <c r="M64" s="30"/>
    </row>
    <row r="65" spans="1:13" x14ac:dyDescent="0.3">
      <c r="A65" s="30" t="s">
        <v>222</v>
      </c>
      <c r="B65" s="31" t="s">
        <v>108</v>
      </c>
      <c r="C65" s="39"/>
      <c r="D65" s="39"/>
      <c r="E65" s="46"/>
      <c r="F65" s="46"/>
      <c r="G65" s="46">
        <f t="shared" si="0"/>
        <v>0</v>
      </c>
      <c r="H65" s="30"/>
      <c r="I65" s="30"/>
      <c r="J65" s="30"/>
      <c r="K65" s="30"/>
      <c r="L65" s="30"/>
      <c r="M65" s="30"/>
    </row>
    <row r="66" spans="1:13" x14ac:dyDescent="0.3">
      <c r="A66" s="30" t="s">
        <v>223</v>
      </c>
      <c r="B66" s="31" t="s">
        <v>134</v>
      </c>
      <c r="C66" s="39"/>
      <c r="D66" s="39"/>
      <c r="E66" s="46"/>
      <c r="F66" s="46"/>
      <c r="G66" s="46">
        <f t="shared" si="0"/>
        <v>0</v>
      </c>
      <c r="H66" s="30"/>
      <c r="I66" s="30"/>
      <c r="J66" s="30"/>
      <c r="K66" s="30"/>
      <c r="L66" s="30"/>
      <c r="M66" s="30"/>
    </row>
    <row r="67" spans="1:13" x14ac:dyDescent="0.3">
      <c r="A67" s="30" t="s">
        <v>224</v>
      </c>
      <c r="B67" s="35" t="s">
        <v>109</v>
      </c>
      <c r="C67" s="39">
        <v>8</v>
      </c>
      <c r="D67" s="39"/>
      <c r="E67" s="46"/>
      <c r="F67" s="46"/>
      <c r="G67" s="46">
        <f t="shared" si="0"/>
        <v>0</v>
      </c>
      <c r="H67" s="30"/>
      <c r="I67" s="30"/>
      <c r="J67" s="30"/>
      <c r="K67" s="30"/>
      <c r="L67" s="30"/>
      <c r="M67" s="30"/>
    </row>
    <row r="68" spans="1:13" x14ac:dyDescent="0.3">
      <c r="A68" s="30" t="s">
        <v>225</v>
      </c>
      <c r="B68" s="31" t="s">
        <v>110</v>
      </c>
      <c r="C68" s="39"/>
      <c r="D68" s="39"/>
      <c r="E68" s="46"/>
      <c r="F68" s="46"/>
      <c r="G68" s="46">
        <f t="shared" si="0"/>
        <v>0</v>
      </c>
      <c r="H68" s="30"/>
      <c r="I68" s="30"/>
      <c r="J68" s="30"/>
      <c r="K68" s="30"/>
      <c r="L68" s="30"/>
      <c r="M68" s="30"/>
    </row>
    <row r="69" spans="1:13" x14ac:dyDescent="0.3">
      <c r="A69" s="30" t="s">
        <v>226</v>
      </c>
      <c r="B69" s="31" t="s">
        <v>111</v>
      </c>
      <c r="C69" s="39"/>
      <c r="D69" s="39"/>
      <c r="E69" s="46"/>
      <c r="F69" s="46"/>
      <c r="G69" s="46">
        <f t="shared" si="0"/>
        <v>0</v>
      </c>
      <c r="H69" s="30"/>
      <c r="I69" s="30"/>
      <c r="J69" s="30"/>
      <c r="K69" s="30"/>
      <c r="L69" s="30"/>
      <c r="M69" s="30"/>
    </row>
    <row r="70" spans="1:13" x14ac:dyDescent="0.3">
      <c r="A70" s="30" t="s">
        <v>227</v>
      </c>
      <c r="B70" s="31" t="s">
        <v>112</v>
      </c>
      <c r="C70" s="39">
        <v>19</v>
      </c>
      <c r="D70" s="39"/>
      <c r="E70" s="46"/>
      <c r="F70" s="46"/>
      <c r="G70" s="46">
        <f t="shared" ref="G70:G95" si="1">D70*E70+F70</f>
        <v>0</v>
      </c>
      <c r="H70" s="30"/>
      <c r="I70" s="30"/>
      <c r="J70" s="30"/>
      <c r="K70" s="30"/>
      <c r="L70" s="30"/>
      <c r="M70" s="30"/>
    </row>
    <row r="71" spans="1:13" x14ac:dyDescent="0.3">
      <c r="A71" s="30" t="s">
        <v>228</v>
      </c>
      <c r="B71" s="31" t="s">
        <v>143</v>
      </c>
      <c r="C71" s="39"/>
      <c r="D71" s="39"/>
      <c r="E71" s="46"/>
      <c r="F71" s="46"/>
      <c r="G71" s="46">
        <f t="shared" si="1"/>
        <v>0</v>
      </c>
      <c r="H71" s="30"/>
      <c r="I71" s="30"/>
      <c r="J71" s="30"/>
      <c r="K71" s="30"/>
      <c r="L71" s="30"/>
      <c r="M71" s="30"/>
    </row>
    <row r="72" spans="1:13" x14ac:dyDescent="0.3">
      <c r="A72" s="30" t="s">
        <v>229</v>
      </c>
      <c r="B72" s="31" t="s">
        <v>133</v>
      </c>
      <c r="C72" s="39">
        <v>54</v>
      </c>
      <c r="D72" s="39"/>
      <c r="E72" s="46"/>
      <c r="F72" s="46"/>
      <c r="G72" s="46">
        <f t="shared" si="1"/>
        <v>0</v>
      </c>
      <c r="H72" s="30"/>
      <c r="I72" s="30"/>
      <c r="J72" s="30"/>
      <c r="K72" s="30"/>
      <c r="L72" s="30"/>
      <c r="M72" s="30"/>
    </row>
    <row r="73" spans="1:13" x14ac:dyDescent="0.3">
      <c r="A73" s="30" t="s">
        <v>230</v>
      </c>
      <c r="B73" s="31" t="s">
        <v>162</v>
      </c>
      <c r="C73" s="39">
        <v>7</v>
      </c>
      <c r="D73" s="39"/>
      <c r="E73" s="46"/>
      <c r="F73" s="46"/>
      <c r="G73" s="46">
        <f t="shared" si="1"/>
        <v>0</v>
      </c>
      <c r="H73" s="30"/>
      <c r="I73" s="30"/>
      <c r="J73" s="30"/>
      <c r="K73" s="30"/>
      <c r="L73" s="30"/>
      <c r="M73" s="30"/>
    </row>
    <row r="74" spans="1:13" x14ac:dyDescent="0.3">
      <c r="A74" s="30" t="s">
        <v>231</v>
      </c>
      <c r="B74" s="31" t="s">
        <v>158</v>
      </c>
      <c r="C74" s="39">
        <v>1</v>
      </c>
      <c r="D74" s="39"/>
      <c r="E74" s="46"/>
      <c r="F74" s="46"/>
      <c r="G74" s="46">
        <f t="shared" si="1"/>
        <v>0</v>
      </c>
      <c r="H74" s="30"/>
      <c r="I74" s="30"/>
      <c r="J74" s="30"/>
      <c r="K74" s="30"/>
      <c r="L74" s="30"/>
      <c r="M74" s="30"/>
    </row>
    <row r="75" spans="1:13" x14ac:dyDescent="0.3">
      <c r="A75" s="27" t="s">
        <v>268</v>
      </c>
      <c r="B75" s="30" t="s">
        <v>267</v>
      </c>
      <c r="C75" s="39">
        <v>2</v>
      </c>
      <c r="D75" s="39"/>
      <c r="E75" s="46"/>
      <c r="F75" s="46"/>
      <c r="G75" s="46"/>
      <c r="H75" s="30"/>
      <c r="I75" s="30"/>
      <c r="J75" s="30"/>
      <c r="K75" s="30"/>
      <c r="L75" s="30"/>
      <c r="M75" s="30"/>
    </row>
    <row r="76" spans="1:13" x14ac:dyDescent="0.3">
      <c r="A76" s="30" t="s">
        <v>232</v>
      </c>
      <c r="B76" s="31" t="s">
        <v>153</v>
      </c>
      <c r="C76" s="39"/>
      <c r="D76" s="39"/>
      <c r="E76" s="46"/>
      <c r="F76" s="46"/>
      <c r="G76" s="46">
        <f t="shared" si="1"/>
        <v>0</v>
      </c>
      <c r="H76" s="30"/>
      <c r="I76" s="30"/>
      <c r="J76" s="30"/>
      <c r="K76" s="30"/>
      <c r="L76" s="30"/>
      <c r="M76" s="30"/>
    </row>
    <row r="77" spans="1:13" x14ac:dyDescent="0.3">
      <c r="A77" s="30" t="s">
        <v>233</v>
      </c>
      <c r="B77" s="31" t="s">
        <v>155</v>
      </c>
      <c r="C77" s="39">
        <v>4</v>
      </c>
      <c r="D77" s="39"/>
      <c r="E77" s="46"/>
      <c r="F77" s="46"/>
      <c r="G77" s="46">
        <f t="shared" si="1"/>
        <v>0</v>
      </c>
      <c r="H77" s="30"/>
      <c r="I77" s="30"/>
      <c r="J77" s="30"/>
      <c r="K77" s="30"/>
      <c r="L77" s="30"/>
      <c r="M77" s="30"/>
    </row>
    <row r="78" spans="1:13" x14ac:dyDescent="0.3">
      <c r="A78" s="30" t="s">
        <v>234</v>
      </c>
      <c r="B78" s="31" t="s">
        <v>89</v>
      </c>
      <c r="C78" s="39">
        <v>1</v>
      </c>
      <c r="D78" s="39"/>
      <c r="E78" s="46"/>
      <c r="F78" s="46"/>
      <c r="G78" s="46">
        <f t="shared" si="1"/>
        <v>0</v>
      </c>
      <c r="H78" s="30"/>
      <c r="I78" s="30"/>
      <c r="J78" s="30"/>
      <c r="K78" s="30"/>
      <c r="L78" s="30"/>
      <c r="M78" s="30"/>
    </row>
    <row r="79" spans="1:13" x14ac:dyDescent="0.3">
      <c r="A79" s="30" t="s">
        <v>235</v>
      </c>
      <c r="B79" s="31" t="s">
        <v>90</v>
      </c>
      <c r="C79" s="39"/>
      <c r="D79" s="39"/>
      <c r="E79" s="46"/>
      <c r="F79" s="46"/>
      <c r="G79" s="46">
        <f t="shared" si="1"/>
        <v>0</v>
      </c>
      <c r="H79" s="30"/>
      <c r="I79" s="30"/>
      <c r="J79" s="30"/>
      <c r="K79" s="30"/>
      <c r="L79" s="30"/>
      <c r="M79" s="30"/>
    </row>
    <row r="80" spans="1:13" x14ac:dyDescent="0.3">
      <c r="A80" s="30" t="s">
        <v>236</v>
      </c>
      <c r="B80" s="35" t="s">
        <v>104</v>
      </c>
      <c r="C80" s="39">
        <v>7</v>
      </c>
      <c r="D80" s="39"/>
      <c r="E80" s="46"/>
      <c r="F80" s="46"/>
      <c r="G80" s="46">
        <f t="shared" si="1"/>
        <v>0</v>
      </c>
      <c r="H80" s="30"/>
      <c r="I80" s="30"/>
      <c r="J80" s="30"/>
      <c r="K80" s="30"/>
      <c r="L80" s="30"/>
      <c r="M80" s="30"/>
    </row>
    <row r="81" spans="1:13" x14ac:dyDescent="0.3">
      <c r="A81" s="30" t="s">
        <v>237</v>
      </c>
      <c r="B81" s="31" t="s">
        <v>91</v>
      </c>
      <c r="C81" s="39">
        <v>13</v>
      </c>
      <c r="D81" s="39">
        <v>10</v>
      </c>
      <c r="E81" s="46">
        <v>35000</v>
      </c>
      <c r="F81" s="46">
        <f>7000*D81</f>
        <v>70000</v>
      </c>
      <c r="G81" s="46">
        <f t="shared" si="1"/>
        <v>420000</v>
      </c>
      <c r="H81" s="47">
        <v>45820</v>
      </c>
      <c r="I81" s="30"/>
      <c r="J81" s="30"/>
      <c r="K81" s="30"/>
      <c r="L81" s="30"/>
      <c r="M81" s="30" t="s">
        <v>259</v>
      </c>
    </row>
    <row r="82" spans="1:13" x14ac:dyDescent="0.3">
      <c r="A82" s="30" t="s">
        <v>277</v>
      </c>
      <c r="B82" s="31" t="s">
        <v>276</v>
      </c>
      <c r="C82" s="39">
        <v>74</v>
      </c>
      <c r="D82" s="39"/>
      <c r="E82" s="46"/>
      <c r="F82" s="46"/>
      <c r="G82" s="46"/>
      <c r="H82" s="47"/>
      <c r="I82" s="30"/>
      <c r="J82" s="30"/>
      <c r="K82" s="30"/>
      <c r="L82" s="30"/>
      <c r="M82" s="30"/>
    </row>
    <row r="83" spans="1:13" x14ac:dyDescent="0.3">
      <c r="A83" s="30" t="s">
        <v>238</v>
      </c>
      <c r="B83" s="31" t="s">
        <v>82</v>
      </c>
      <c r="C83" s="39"/>
      <c r="D83" s="39"/>
      <c r="E83" s="46"/>
      <c r="F83" s="46"/>
      <c r="G83" s="46">
        <f t="shared" si="1"/>
        <v>0</v>
      </c>
      <c r="H83" s="30"/>
      <c r="I83" s="30"/>
      <c r="J83" s="30"/>
      <c r="K83" s="30"/>
      <c r="L83" s="30"/>
      <c r="M83" s="30"/>
    </row>
    <row r="84" spans="1:13" x14ac:dyDescent="0.3">
      <c r="A84" s="30" t="s">
        <v>239</v>
      </c>
      <c r="B84" s="31" t="s">
        <v>119</v>
      </c>
      <c r="C84" s="39"/>
      <c r="D84" s="39"/>
      <c r="E84" s="46"/>
      <c r="F84" s="46"/>
      <c r="G84" s="46">
        <f t="shared" si="1"/>
        <v>0</v>
      </c>
      <c r="H84" s="30"/>
      <c r="I84" s="30"/>
      <c r="J84" s="30"/>
      <c r="K84" s="30"/>
      <c r="L84" s="30"/>
      <c r="M84" s="30"/>
    </row>
    <row r="85" spans="1:13" x14ac:dyDescent="0.3">
      <c r="A85" s="30" t="s">
        <v>240</v>
      </c>
      <c r="B85" s="31" t="s">
        <v>115</v>
      </c>
      <c r="C85" s="39"/>
      <c r="D85" s="39">
        <v>5</v>
      </c>
      <c r="E85" s="46">
        <v>40000</v>
      </c>
      <c r="F85" s="46">
        <f>7000*D85</f>
        <v>35000</v>
      </c>
      <c r="G85" s="46">
        <f t="shared" si="1"/>
        <v>235000</v>
      </c>
      <c r="H85" s="47">
        <v>45820</v>
      </c>
      <c r="I85" s="30"/>
      <c r="J85" s="30"/>
      <c r="K85" s="30"/>
      <c r="L85" s="30"/>
      <c r="M85" s="30" t="s">
        <v>259</v>
      </c>
    </row>
    <row r="86" spans="1:13" x14ac:dyDescent="0.3">
      <c r="A86" s="30" t="s">
        <v>266</v>
      </c>
      <c r="B86" s="31" t="s">
        <v>265</v>
      </c>
      <c r="C86" s="39">
        <v>3</v>
      </c>
      <c r="D86" s="39"/>
      <c r="E86" s="46"/>
      <c r="F86" s="46"/>
      <c r="G86" s="46"/>
      <c r="H86" s="47"/>
      <c r="I86" s="30"/>
      <c r="J86" s="30"/>
      <c r="K86" s="30"/>
      <c r="L86" s="30"/>
      <c r="M86" s="30"/>
    </row>
    <row r="87" spans="1:13" x14ac:dyDescent="0.3">
      <c r="A87" s="30" t="s">
        <v>241</v>
      </c>
      <c r="B87" s="31" t="s">
        <v>278</v>
      </c>
      <c r="C87" s="39">
        <v>59</v>
      </c>
      <c r="D87" s="39"/>
      <c r="E87" s="46"/>
      <c r="F87" s="46"/>
      <c r="G87" s="46"/>
      <c r="H87" s="47"/>
      <c r="I87" s="30"/>
      <c r="J87" s="30"/>
      <c r="K87" s="30"/>
      <c r="L87" s="30"/>
      <c r="M87" s="30"/>
    </row>
    <row r="88" spans="1:13" x14ac:dyDescent="0.3">
      <c r="A88" s="30" t="s">
        <v>242</v>
      </c>
      <c r="B88" s="31" t="s">
        <v>105</v>
      </c>
      <c r="C88" s="39"/>
      <c r="D88" s="39"/>
      <c r="E88" s="46"/>
      <c r="F88" s="46"/>
      <c r="G88" s="46">
        <f t="shared" si="1"/>
        <v>0</v>
      </c>
      <c r="H88" s="30"/>
      <c r="I88" s="30"/>
      <c r="J88" s="30"/>
      <c r="K88" s="30"/>
      <c r="L88" s="30"/>
      <c r="M88" s="30"/>
    </row>
    <row r="89" spans="1:13" x14ac:dyDescent="0.3">
      <c r="A89" s="30" t="s">
        <v>262</v>
      </c>
      <c r="B89" s="31" t="s">
        <v>261</v>
      </c>
      <c r="C89" s="39"/>
      <c r="D89" s="39">
        <v>40</v>
      </c>
      <c r="E89" s="46">
        <v>55000</v>
      </c>
      <c r="F89" s="46"/>
      <c r="G89" s="46">
        <f t="shared" si="1"/>
        <v>2200000</v>
      </c>
      <c r="H89" s="47">
        <v>45912</v>
      </c>
      <c r="I89" s="30"/>
      <c r="J89" s="30"/>
      <c r="K89" s="30"/>
      <c r="L89" s="30"/>
      <c r="M89" s="30" t="s">
        <v>263</v>
      </c>
    </row>
    <row r="90" spans="1:13" x14ac:dyDescent="0.3">
      <c r="A90" s="30" t="s">
        <v>279</v>
      </c>
      <c r="B90" s="31" t="s">
        <v>106</v>
      </c>
      <c r="C90" s="39"/>
      <c r="D90" s="39"/>
      <c r="E90" s="46"/>
      <c r="F90" s="46"/>
      <c r="G90" s="46">
        <f t="shared" si="1"/>
        <v>0</v>
      </c>
      <c r="H90" s="30"/>
      <c r="I90" s="30"/>
      <c r="J90" s="30"/>
      <c r="K90" s="30"/>
      <c r="L90" s="30"/>
      <c r="M90" s="30"/>
    </row>
    <row r="91" spans="1:13" x14ac:dyDescent="0.3">
      <c r="A91" s="30" t="s">
        <v>243</v>
      </c>
      <c r="B91" s="31" t="s">
        <v>125</v>
      </c>
      <c r="C91" s="39"/>
      <c r="D91" s="39"/>
      <c r="E91" s="46"/>
      <c r="F91" s="46"/>
      <c r="G91" s="46">
        <f t="shared" si="1"/>
        <v>0</v>
      </c>
      <c r="H91" s="30"/>
      <c r="I91" s="30"/>
      <c r="J91" s="30"/>
      <c r="K91" s="30"/>
      <c r="L91" s="30"/>
      <c r="M91" s="30"/>
    </row>
    <row r="92" spans="1:13" x14ac:dyDescent="0.3">
      <c r="A92" s="30" t="s">
        <v>244</v>
      </c>
      <c r="B92" s="31" t="s">
        <v>126</v>
      </c>
      <c r="C92" s="39">
        <v>8</v>
      </c>
      <c r="D92" s="39"/>
      <c r="E92" s="46"/>
      <c r="F92" s="46"/>
      <c r="G92" s="46">
        <f t="shared" si="1"/>
        <v>0</v>
      </c>
      <c r="H92" s="30"/>
      <c r="I92" s="30"/>
      <c r="J92" s="30"/>
      <c r="K92" s="30"/>
      <c r="L92" s="30"/>
      <c r="M92" s="30"/>
    </row>
    <row r="93" spans="1:13" x14ac:dyDescent="0.3">
      <c r="A93" s="30" t="s">
        <v>245</v>
      </c>
      <c r="B93" s="31" t="s">
        <v>127</v>
      </c>
      <c r="C93" s="39">
        <v>9</v>
      </c>
      <c r="D93" s="39"/>
      <c r="E93" s="46"/>
      <c r="F93" s="46"/>
      <c r="G93" s="46">
        <f t="shared" si="1"/>
        <v>0</v>
      </c>
      <c r="H93" s="30"/>
      <c r="I93" s="30"/>
      <c r="J93" s="30"/>
      <c r="K93" s="30"/>
      <c r="L93" s="30"/>
      <c r="M93" s="30"/>
    </row>
    <row r="94" spans="1:13" x14ac:dyDescent="0.3">
      <c r="A94" s="30" t="s">
        <v>246</v>
      </c>
      <c r="B94" s="31" t="s">
        <v>128</v>
      </c>
      <c r="C94" s="39">
        <v>10</v>
      </c>
      <c r="D94" s="39"/>
      <c r="E94" s="46"/>
      <c r="F94" s="46"/>
      <c r="G94" s="46">
        <f t="shared" si="1"/>
        <v>0</v>
      </c>
      <c r="H94" s="30"/>
      <c r="I94" s="30"/>
      <c r="J94" s="30"/>
      <c r="K94" s="30"/>
      <c r="L94" s="30"/>
      <c r="M94" s="30"/>
    </row>
    <row r="95" spans="1:13" x14ac:dyDescent="0.3">
      <c r="A95" s="30" t="s">
        <v>247</v>
      </c>
      <c r="B95" s="31" t="s">
        <v>129</v>
      </c>
      <c r="C95" s="39">
        <v>4</v>
      </c>
      <c r="D95" s="39"/>
      <c r="E95" s="46"/>
      <c r="F95" s="46"/>
      <c r="G95" s="46">
        <f t="shared" si="1"/>
        <v>0</v>
      </c>
      <c r="H95" s="30"/>
      <c r="I95" s="30"/>
      <c r="J95" s="30"/>
      <c r="K95" s="30"/>
      <c r="L95" s="30"/>
      <c r="M95" s="30"/>
    </row>
    <row r="96" spans="1:13" x14ac:dyDescent="0.3">
      <c r="A96" s="36" t="s">
        <v>248</v>
      </c>
      <c r="B96" s="30">
        <v>94</v>
      </c>
      <c r="C96" s="39">
        <f>SUM(C2:C95)</f>
        <v>578</v>
      </c>
      <c r="D96" s="39">
        <f>SUM(D2:D95)</f>
        <v>80</v>
      </c>
      <c r="E96" s="46"/>
      <c r="F96" s="46"/>
      <c r="G96" s="46">
        <f>SUM(G2:G95)</f>
        <v>3985000</v>
      </c>
      <c r="H96" s="30"/>
      <c r="I96" s="30"/>
      <c r="J96" s="30"/>
      <c r="K96" s="30"/>
      <c r="L96" s="30"/>
      <c r="M96" s="30"/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02E9C-CD74-4E5C-A8B6-6A2483DA3679}">
  <dimension ref="A1"/>
  <sheetViews>
    <sheetView workbookViewId="0">
      <selection activeCell="G23" sqref="G23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XUẤT SHOPPE T12.2025</vt:lpstr>
      <vt:lpstr>NHẬP XUẤT TỒN  T12.2015</vt:lpstr>
      <vt:lpstr>CHI TIẾT XUẤT T12.2025</vt:lpstr>
      <vt:lpstr>'XUẤT SHOPPE T12.2025'!Print_Area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cp:lastPrinted>2025-12-09T07:44:56Z</cp:lastPrinted>
  <dcterms:created xsi:type="dcterms:W3CDTF">2025-12-04T00:38:22Z</dcterms:created>
  <dcterms:modified xsi:type="dcterms:W3CDTF">2025-12-09T17:08:18Z</dcterms:modified>
</cp:coreProperties>
</file>